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fcl_v4" sheetId="1" state="visible" r:id="rId3"/>
    <sheet name="gpt_os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<sst xmlns="http://schemas.openxmlformats.org/spreadsheetml/2006/main" count="454" uniqueCount="56">
  <si>
    <t xml:space="preserve">api_key</t>
  </si>
  <si>
    <t xml:space="preserve">sk-none</t>
  </si>
  <si>
    <t xml:space="preserve">model_root</t>
  </si>
  <si>
    <t xml:space="preserve">gpt-oss-20b-</t>
  </si>
  <si>
    <t xml:space="preserve">project_root</t>
  </si>
  <si>
    <t xml:space="preserve">/home/p/Code/local/burrito-evals/data/bfcl_v4/</t>
  </si>
  <si>
    <t xml:space="preserve">backend_url_llamacpp</t>
  </si>
  <si>
    <r>
      <rPr>
        <sz val="8"/>
        <rFont val="SF Mono"/>
        <family val="0"/>
        <charset val="1"/>
      </rPr>
      <t xml:space="preserve">http://localhost:</t>
    </r>
    <r>
      <rPr>
        <b val="true"/>
        <sz val="8"/>
        <color theme="1"/>
        <rFont val="Calibri"/>
        <family val="2"/>
        <charset val="1"/>
      </rPr>
      <t xml:space="preserve">9999</t>
    </r>
    <r>
      <rPr>
        <sz val="8"/>
        <color theme="1"/>
        <rFont val="Calibri"/>
        <family val="2"/>
        <charset val="1"/>
      </rPr>
      <t xml:space="preserve">/v1</t>
    </r>
  </si>
  <si>
    <t xml:space="preserve">backend_url_vllm</t>
  </si>
  <si>
    <t xml:space="preserve">backend_url_burrito</t>
  </si>
  <si>
    <r>
      <rPr>
        <sz val="8"/>
        <rFont val="SF Mono"/>
        <family val="0"/>
        <charset val="1"/>
      </rPr>
      <t xml:space="preserve">http://localhost:</t>
    </r>
    <r>
      <rPr>
        <b val="true"/>
        <sz val="8"/>
        <rFont val="SF Mono"/>
        <family val="0"/>
        <charset val="1"/>
      </rPr>
      <t xml:space="preserve">8888</t>
    </r>
    <r>
      <rPr>
        <sz val="8"/>
        <rFont val="SF Mono"/>
        <family val="0"/>
        <charset val="1"/>
      </rPr>
      <t xml:space="preserve">/v1</t>
    </r>
  </si>
  <si>
    <t xml:space="preserve">backend</t>
  </si>
  <si>
    <t xml:space="preserve">base_url</t>
  </si>
  <si>
    <t xml:space="preserve">wire_api</t>
  </si>
  <si>
    <t xml:space="preserve">fc_model</t>
  </si>
  <si>
    <t xml:space="preserve">reasoning_effort</t>
  </si>
  <si>
    <t xml:space="preserve">temperature</t>
  </si>
  <si>
    <t xml:space="preserve">batch_size</t>
  </si>
  <si>
    <t xml:space="preserve">seed</t>
  </si>
  <si>
    <t xml:space="preserve">run_name</t>
  </si>
  <si>
    <t xml:space="preserve">benchmark</t>
  </si>
  <si>
    <t xml:space="preserve">cmd gen</t>
  </si>
  <si>
    <t xml:space="preserve">cmd eval</t>
  </si>
  <si>
    <t xml:space="preserve">model_file</t>
  </si>
  <si>
    <t xml:space="preserve">baseline</t>
  </si>
  <si>
    <t xml:space="preserve">test determinism and jinja template fixes for non-FC, non-burrito setup; specific server startup commands to constrain for determinism at the expense of speed</t>
  </si>
  <si>
    <t xml:space="preserve">FC-0</t>
  </si>
  <si>
    <t xml:space="preserve">llamacpp</t>
  </si>
  <si>
    <t xml:space="preserve">chat</t>
  </si>
  <si>
    <t xml:space="preserve">medium</t>
  </si>
  <si>
    <t xml:space="preserve">irrelevance,live_relevance,simple_javascript</t>
  </si>
  <si>
    <t xml:space="preserve">ggml-org/gpt-oss-20b-mxfp4.gguf</t>
  </si>
  <si>
    <t xml:space="preserve">responses</t>
  </si>
  <si>
    <t xml:space="preserve">burrito@llamacpp</t>
  </si>
  <si>
    <t xml:space="preserve">FC-1</t>
  </si>
  <si>
    <t xml:space="preserve">vllm</t>
  </si>
  <si>
    <t xml:space="preserve">openai/gpt-oss-20b*.safetensors</t>
  </si>
  <si>
    <t xml:space="preserve">burrito@vllm</t>
  </si>
  <si>
    <t xml:space="preserve">llamacpp@fixedjinja</t>
  </si>
  <si>
    <t xml:space="preserve">vllm@fixedjinja</t>
  </si>
  <si>
    <t xml:space="preserve">prodlike</t>
  </si>
  <si>
    <t xml:space="preserve">OAI recommended sampling params, 8 different seeds, fixed jinja template, FC setup only, batch size 4, prod server params optimized for speed</t>
  </si>
  <si>
    <t xml:space="preserve">irrelevance,live_relevance,live_simple,multi_turn_base,simple_java,simple_javascript,simple_python</t>
  </si>
  <si>
    <t xml:space="preserve">Etc 1 for llama 4 for vllm?</t>
  </si>
  <si>
    <t xml:space="preserve">simple_javascript,simple_java,simple_python,irrelevance,live_relevance,multi_turn_base</t>
  </si>
  <si>
    <t xml:space="preserve">openai/gpt-oss-20b</t>
  </si>
  <si>
    <t xml:space="preserve">/home/p/Code/local/burrito-evals/data/gpt_oss/</t>
  </si>
  <si>
    <t xml:space="preserve">browser</t>
  </si>
  <si>
    <t xml:space="preserve">python</t>
  </si>
  <si>
    <t xml:space="preserve">bnaseline measurements – check for reproducing chat vs responses, burrito vs backend, jinja vs fixed jinja</t>
  </si>
  <si>
    <t xml:space="preserve">llama.cpp</t>
  </si>
  <si>
    <t xml:space="preserve">llamacpp@default-jinja</t>
  </si>
  <si>
    <t xml:space="preserve">aime25,gpqa</t>
  </si>
  <si>
    <t xml:space="preserve">llamacpp@fixed-jinja</t>
  </si>
  <si>
    <t xml:space="preserve">vllm@default-jinja</t>
  </si>
  <si>
    <t xml:space="preserve">vllm@fixed-jinja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</si>
</sst>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_);[RED]&quot;($&quot;#,##0.00\)"/>
    <numFmt numFmtId="166" formatCode="#,##0.00"/>
    <numFmt numFmtId="167" formatCode="h:mm:ss"/>
    <numFmt numFmtId="168" formatCode="0.0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SF Mono"/>
      <family val="0"/>
      <charset val="1"/>
    </font>
    <font>
      <b val="true"/>
      <sz val="8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8"/>
      <name val="SF Mono"/>
      <family val="0"/>
      <charset val="1"/>
    </font>
    <font>
      <b val="true"/>
      <sz val="10"/>
      <name val="Arial"/>
      <family val="2"/>
      <charset val="1"/>
    </font>
    <font>
      <b val="true"/>
      <i val="true"/>
      <u val="single"/>
      <sz val="8"/>
      <name val="SF Mono"/>
      <family val="0"/>
      <charset val="1"/>
    </font>
    <font>
      <i val="true"/>
      <sz val="8"/>
      <name val="SF Mono"/>
      <family val="0"/>
      <charset val="1"/>
    </font>
    <font>
      <b val="true"/>
      <i val="true"/>
      <sz val="8"/>
      <name val="SF Mono"/>
      <family val="0"/>
      <charset val="1"/>
    </font>
    <font>
      <sz val="8"/>
      <color rgb="FF0000FF"/>
      <name val="SF Mono"/>
      <family val="0"/>
      <charset val="1"/>
    </font>
    <font>
      <sz val="8"/>
      <color rgb="FF0000FF"/>
      <name val="SF Mon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7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lamacpp@fixedjinja" TargetMode="External"/><Relationship Id="rId2" Type="http://schemas.openxmlformats.org/officeDocument/2006/relationships/hyperlink" Target="mailto:llamacpp@fixedjinja" TargetMode="External"/><Relationship Id="rId3" Type="http://schemas.openxmlformats.org/officeDocument/2006/relationships/hyperlink" Target="mailto:vllm@fixedjinja" TargetMode="External"/><Relationship Id="rId4" Type="http://schemas.openxmlformats.org/officeDocument/2006/relationships/hyperlink" Target="mailto:vllm@fixedjinja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lamacpp@default-jinja" TargetMode="External"/><Relationship Id="rId2" Type="http://schemas.openxmlformats.org/officeDocument/2006/relationships/hyperlink" Target="mailto:llamacpp@default-jinja" TargetMode="External"/><Relationship Id="rId3" Type="http://schemas.openxmlformats.org/officeDocument/2006/relationships/hyperlink" Target="mailto:llamacpp@fixed-jinja" TargetMode="External"/><Relationship Id="rId4" Type="http://schemas.openxmlformats.org/officeDocument/2006/relationships/hyperlink" Target="mailto:llamacpp@fixed-jinja" TargetMode="External"/><Relationship Id="rId5" Type="http://schemas.openxmlformats.org/officeDocument/2006/relationships/hyperlink" Target="mailto:vllm@default-jinja" TargetMode="External"/><Relationship Id="rId6" Type="http://schemas.openxmlformats.org/officeDocument/2006/relationships/hyperlink" Target="mailto:vllm@default-jinja" TargetMode="External"/><Relationship Id="rId7" Type="http://schemas.openxmlformats.org/officeDocument/2006/relationships/hyperlink" Target="mailto:vllm@fixed-jinja" TargetMode="External"/><Relationship Id="rId8" Type="http://schemas.openxmlformats.org/officeDocument/2006/relationships/hyperlink" Target="mailto:vllm@fixed-jinj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13" activeCellId="0" sqref="F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85"/>
    <col collapsed="false" customWidth="true" hidden="false" outlineLevel="0" max="2" min="2" style="1" width="41.49"/>
    <col collapsed="false" customWidth="true" hidden="false" outlineLevel="0" max="3" min="3" style="1" width="11.07"/>
    <col collapsed="false" customWidth="true" hidden="false" outlineLevel="0" max="4" min="4" style="2" width="10"/>
    <col collapsed="false" customWidth="true" hidden="false" outlineLevel="0" max="5" min="5" style="2" width="18.57"/>
    <col collapsed="false" customWidth="true" hidden="false" outlineLevel="0" max="6" min="6" style="3" width="15.35"/>
    <col collapsed="false" customWidth="true" hidden="false" outlineLevel="0" max="7" min="7" style="2" width="12.15"/>
    <col collapsed="false" customWidth="true" hidden="false" outlineLevel="0" max="8" min="8" style="1" width="10"/>
    <col collapsed="false" customWidth="true" hidden="false" outlineLevel="0" max="9" min="9" style="1" width="60.15"/>
    <col collapsed="false" customWidth="true" hidden="false" outlineLevel="0" max="10" min="10" style="1" width="42.07"/>
    <col collapsed="false" customWidth="true" hidden="false" outlineLevel="0" max="11" min="11" style="1" width="17.76"/>
    <col collapsed="false" customWidth="true" hidden="false" outlineLevel="0" max="12" min="12" style="1" width="21.83"/>
    <col collapsed="false" customWidth="true" hidden="false" outlineLevel="0" max="13" min="13" style="1" width="34.62"/>
    <col collapsed="false" customWidth="false" hidden="false" outlineLevel="0" max="16" min="14" style="4" width="11.53"/>
    <col collapsed="false" customWidth="false" hidden="false" outlineLevel="0" max="16383" min="17" style="1" width="11.53"/>
  </cols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</row>
    <row r="4" customFormat="false" ht="12.8" hidden="false" customHeight="false" outlineLevel="0" collapsed="false">
      <c r="A4" s="1" t="s">
        <v>6</v>
      </c>
      <c r="B4" s="1" t="s">
        <v>7</v>
      </c>
    </row>
    <row r="5" customFormat="false" ht="12.8" hidden="false" customHeight="false" outlineLevel="0" collapsed="false">
      <c r="A5" s="1" t="s">
        <v>8</v>
      </c>
      <c r="B5" s="1" t="s">
        <v>7</v>
      </c>
    </row>
    <row r="6" customFormat="false" ht="12.8" hidden="false" customHeight="false" outlineLevel="0" collapsed="false">
      <c r="A6" s="1" t="s">
        <v>9</v>
      </c>
      <c r="B6" s="1" t="s">
        <v>10</v>
      </c>
    </row>
    <row r="8" s="5" customFormat="true" ht="12.8" hidden="false" customHeight="false" outlineLevel="0" collapsed="false">
      <c r="A8" s="5" t="s">
        <v>11</v>
      </c>
      <c r="B8" s="5" t="s">
        <v>12</v>
      </c>
      <c r="C8" s="5" t="s">
        <v>13</v>
      </c>
      <c r="D8" s="5" t="s">
        <v>14</v>
      </c>
      <c r="E8" s="5" t="s">
        <v>15</v>
      </c>
      <c r="F8" s="6" t="s">
        <v>16</v>
      </c>
      <c r="G8" s="5" t="s">
        <v>17</v>
      </c>
      <c r="H8" s="5" t="s">
        <v>18</v>
      </c>
      <c r="I8" s="5" t="s">
        <v>19</v>
      </c>
      <c r="J8" s="5" t="s">
        <v>20</v>
      </c>
      <c r="K8" s="5" t="s">
        <v>21</v>
      </c>
      <c r="L8" s="5" t="s">
        <v>22</v>
      </c>
      <c r="M8" s="5" t="s">
        <v>23</v>
      </c>
      <c r="N8" s="7"/>
      <c r="O8" s="7"/>
      <c r="P8" s="7"/>
      <c r="XFD8" s="8"/>
    </row>
    <row r="10" customFormat="false" ht="12.8" hidden="false" customHeight="false" outlineLevel="0" collapsed="false">
      <c r="A10" s="9" t="s">
        <v>24</v>
      </c>
      <c r="B10" s="10" t="s">
        <v>25</v>
      </c>
    </row>
    <row r="12" customFormat="false" ht="12.8" hidden="false" customHeight="false" outlineLevel="0" collapsed="false">
      <c r="A12" s="11" t="s">
        <v>26</v>
      </c>
      <c r="L12" s="12"/>
    </row>
    <row r="13" customFormat="false" ht="12.8" hidden="false" customHeight="false" outlineLevel="0" collapsed="false">
      <c r="A13" s="1" t="s">
        <v>27</v>
      </c>
      <c r="B13" s="1" t="str">
        <f aca="false">B$4</f>
        <v>http://localhost:9999/v1</v>
      </c>
      <c r="C13" s="1" t="s">
        <v>28</v>
      </c>
      <c r="D13" s="2" t="n">
        <v>0</v>
      </c>
      <c r="E13" s="2" t="s">
        <v>29</v>
      </c>
      <c r="F13" s="13" t="n">
        <v>0</v>
      </c>
      <c r="G13" s="2" t="n">
        <v>1</v>
      </c>
      <c r="H13" s="1" t="n">
        <v>69421337</v>
      </c>
      <c r="I13" s="1" t="str">
        <f aca="false">A13&amp;"_"&amp;C13&amp;"_"&amp;E13&amp;"_t-"&amp;F13&amp;"_b-"&amp;G13&amp;"_f-"&amp;D13&amp;"_s-"&amp;H13</f>
        <v>llamacpp_chat_medium_t-0_b-1_f-0_s-69421337</v>
      </c>
      <c r="J13" s="1" t="s">
        <v>30</v>
      </c>
      <c r="K13" s="1" t="str">
        <f aca="false">"env OPENAI_API_KEY=sk-none OPENAI_BASE_URL="&amp;B13&amp;" BFCL_PROJECT_ROOT="&amp;$B$3&amp;I13&amp;" bfcl generate --model "&amp;$B$2&amp;C13&amp;IF(D13=1,"-FC","")&amp;" --test-category="&amp;J13&amp;" --temperature="&amp;TEXT(F13,"0.0000")&amp;" --num-threads="&amp;G13</f>
        <v>env OPENAI_API_KEY=sk-none OPENAI_BASE_URL=http://localhost:9999/v1 BFCL_PROJECT_ROOT=/home/p/Code/local/burrito-evals/data/bfcl_v4/llamacpp_chat_medium_t-0_b-1_f-0_s-69421337 bfcl generate --model gpt-oss-20b-chat --test-category=irrelevance,live_relevance,simple_javascript --temperature=0.0000 --num-threads=1</v>
      </c>
      <c r="L13" s="1" t="str">
        <f aca="false">"env OPENAI_API_KEY=sk-none BFCL_PROJECT_ROOT="&amp;$B$3&amp;I13&amp;" bfcl evaluate --model "&amp;$B$2&amp;C13&amp;IF(D13=1,"-FC","")&amp;" --test-category="&amp;J13</f>
        <v>env OPENAI_API_KEY=sk-none BFCL_PROJECT_ROOT=/home/p/Code/local/burrito-evals/data/bfcl_v4/llamacpp_chat_medium_t-0_b-1_f-0_s-69421337 bfcl evaluate --model gpt-oss-20b-chat --test-category=irrelevance,live_relevance,simple_javascript</v>
      </c>
      <c r="M13" s="1" t="s">
        <v>31</v>
      </c>
    </row>
    <row r="14" customFormat="false" ht="12.8" hidden="false" customHeight="false" outlineLevel="0" collapsed="false">
      <c r="A14" s="1" t="s">
        <v>27</v>
      </c>
      <c r="B14" s="1" t="str">
        <f aca="false">B$4</f>
        <v>http://localhost:9999/v1</v>
      </c>
      <c r="C14" s="1" t="s">
        <v>32</v>
      </c>
      <c r="D14" s="2" t="n">
        <v>0</v>
      </c>
      <c r="E14" s="2" t="s">
        <v>29</v>
      </c>
      <c r="F14" s="13" t="n">
        <v>0</v>
      </c>
      <c r="G14" s="2" t="n">
        <v>1</v>
      </c>
      <c r="H14" s="1" t="n">
        <v>69421337</v>
      </c>
      <c r="I14" s="1" t="str">
        <f aca="false">A14&amp;"_"&amp;C14&amp;"_"&amp;E14&amp;"_t-"&amp;F14&amp;"_b-"&amp;G14&amp;"_f-"&amp;D14&amp;"_s-"&amp;H14</f>
        <v>llamacpp_responses_medium_t-0_b-1_f-0_s-69421337</v>
      </c>
      <c r="J14" s="1" t="s">
        <v>30</v>
      </c>
      <c r="K14" s="1" t="str">
        <f aca="false">"env OPENAI_API_KEY=sk-none OPENAI_BASE_URL="&amp;B14&amp;" BFCL_PROJECT_ROOT="&amp;$B$3&amp;I14&amp;" bfcl generate --model "&amp;$B$2&amp;C14&amp;IF(D14=1,"-FC","")&amp;" --test-category="&amp;J14&amp;" --temperature="&amp;TEXT(F14,"0.0000")&amp;" --num-threads="&amp;G14</f>
        <v>env OPENAI_API_KEY=sk-none OPENAI_BASE_URL=http://localhost:9999/v1 BFCL_PROJECT_ROOT=/home/p/Code/local/burrito-evals/data/bfcl_v4/llamacpp_responses_medium_t-0_b-1_f-0_s-69421337 bfcl generate --model gpt-oss-20b-responses --test-category=irrelevance,live_relevance,simple_javascript --temperature=0.0000 --num-threads=1</v>
      </c>
      <c r="L14" s="1" t="str">
        <f aca="false">"env OPENAI_API_KEY=sk-none BFCL_PROJECT_ROOT="&amp;$B$3&amp;I14&amp;" bfcl evaluate --model "&amp;$B$2&amp;C14&amp;IF(D14=1,"-FC","")&amp;" --test-category="&amp;J14</f>
        <v>env OPENAI_API_KEY=sk-none BFCL_PROJECT_ROOT=/home/p/Code/local/burrito-evals/data/bfcl_v4/llamacpp_responses_medium_t-0_b-1_f-0_s-69421337 bfcl evaluate --model gpt-oss-20b-responses --test-category=irrelevance,live_relevance,simple_javascript</v>
      </c>
      <c r="M14" s="1" t="s">
        <v>31</v>
      </c>
    </row>
    <row r="15" customFormat="false" ht="12.8" hidden="false" customHeight="false" outlineLevel="0" collapsed="false">
      <c r="A15" s="1" t="s">
        <v>33</v>
      </c>
      <c r="B15" s="1" t="str">
        <f aca="false">B$6</f>
        <v>http://localhost:8888/v1</v>
      </c>
      <c r="C15" s="1" t="s">
        <v>28</v>
      </c>
      <c r="D15" s="2" t="n">
        <v>0</v>
      </c>
      <c r="E15" s="2" t="s">
        <v>29</v>
      </c>
      <c r="F15" s="13" t="n">
        <v>0</v>
      </c>
      <c r="G15" s="2" t="n">
        <v>1</v>
      </c>
      <c r="H15" s="1" t="n">
        <v>69421337</v>
      </c>
      <c r="I15" s="1" t="str">
        <f aca="false">A15&amp;"_"&amp;C15&amp;"_"&amp;E15&amp;"_t-"&amp;F15&amp;"_b-"&amp;G15&amp;"_f-"&amp;D15&amp;"_s-"&amp;H15</f>
        <v>burrito@llamacpp_chat_medium_t-0_b-1_f-0_s-69421337</v>
      </c>
      <c r="J15" s="1" t="s">
        <v>30</v>
      </c>
      <c r="K15" s="1" t="str">
        <f aca="false">"env OPENAI_API_KEY=sk-none OPENAI_BASE_URL="&amp;B15&amp;" BFCL_PROJECT_ROOT="&amp;$B$3&amp;I15&amp;" bfcl generate --model "&amp;$B$2&amp;C15&amp;IF(D15=1,"-FC","")&amp;" --test-category="&amp;J15&amp;" --temperature="&amp;TEXT(F15,"0.0000")&amp;" --num-threads="&amp;G15</f>
        <v>env OPENAI_API_KEY=sk-none OPENAI_BASE_URL=http://localhost:8888/v1 BFCL_PROJECT_ROOT=/home/p/Code/local/burrito-evals/data/bfcl_v4/burrito@llamacpp_chat_medium_t-0_b-1_f-0_s-69421337 bfcl generate --model gpt-oss-20b-chat --test-category=irrelevance,live_relevance,simple_javascript --temperature=0.0000 --num-threads=1</v>
      </c>
      <c r="L15" s="1" t="str">
        <f aca="false">"env OPENAI_API_KEY=sk-none BFCL_PROJECT_ROOT="&amp;$B$3&amp;I15&amp;" bfcl evaluate --model "&amp;$B$2&amp;C15&amp;IF(D15=1,"-FC","")&amp;" --test-category="&amp;J15</f>
        <v>env OPENAI_API_KEY=sk-none BFCL_PROJECT_ROOT=/home/p/Code/local/burrito-evals/data/bfcl_v4/burrito@llamacpp_chat_medium_t-0_b-1_f-0_s-69421337 bfcl evaluate --model gpt-oss-20b-chat --test-category=irrelevance,live_relevance,simple_javascript</v>
      </c>
      <c r="M15" s="1" t="s">
        <v>31</v>
      </c>
    </row>
    <row r="16" customFormat="false" ht="12.8" hidden="false" customHeight="false" outlineLevel="0" collapsed="false">
      <c r="A16" s="1" t="s">
        <v>33</v>
      </c>
      <c r="B16" s="1" t="str">
        <f aca="false">B$6</f>
        <v>http://localhost:8888/v1</v>
      </c>
      <c r="C16" s="1" t="s">
        <v>32</v>
      </c>
      <c r="D16" s="2" t="n">
        <v>0</v>
      </c>
      <c r="E16" s="2" t="s">
        <v>29</v>
      </c>
      <c r="F16" s="13" t="n">
        <v>0</v>
      </c>
      <c r="G16" s="2" t="n">
        <v>1</v>
      </c>
      <c r="H16" s="1" t="n">
        <v>69421337</v>
      </c>
      <c r="I16" s="1" t="str">
        <f aca="false">A16&amp;"_"&amp;C16&amp;"_"&amp;E16&amp;"_t-"&amp;F16&amp;"_b-"&amp;G16&amp;"_f-"&amp;D16&amp;"_s-"&amp;H16</f>
        <v>burrito@llamacpp_responses_medium_t-0_b-1_f-0_s-69421337</v>
      </c>
      <c r="J16" s="1" t="s">
        <v>30</v>
      </c>
      <c r="K16" s="1" t="str">
        <f aca="false">"env OPENAI_API_KEY=sk-none OPENAI_BASE_URL="&amp;B16&amp;" BFCL_PROJECT_ROOT="&amp;$B$3&amp;I16&amp;" bfcl generate --model "&amp;$B$2&amp;C16&amp;IF(D16=1,"-FC","")&amp;" --test-category="&amp;J16&amp;" --temperature="&amp;TEXT(F16,"0.0000")&amp;" --num-threads="&amp;G16</f>
        <v>env OPENAI_API_KEY=sk-none OPENAI_BASE_URL=http://localhost:8888/v1 BFCL_PROJECT_ROOT=/home/p/Code/local/burrito-evals/data/bfcl_v4/burrito@llamacpp_responses_medium_t-0_b-1_f-0_s-69421337 bfcl generate --model gpt-oss-20b-responses --test-category=irrelevance,live_relevance,simple_javascript --temperature=0.0000 --num-threads=1</v>
      </c>
      <c r="L16" s="1" t="str">
        <f aca="false">"env OPENAI_API_KEY=sk-none BFCL_PROJECT_ROOT="&amp;$B$3&amp;I16&amp;" bfcl evaluate --model "&amp;$B$2&amp;C16&amp;IF(D16=1,"-FC","")&amp;" --test-category="&amp;J16</f>
        <v>env OPENAI_API_KEY=sk-none BFCL_PROJECT_ROOT=/home/p/Code/local/burrito-evals/data/bfcl_v4/burrito@llamacpp_responses_medium_t-0_b-1_f-0_s-69421337 bfcl evaluate --model gpt-oss-20b-responses --test-category=irrelevance,live_relevance,simple_javascript</v>
      </c>
      <c r="M16" s="1" t="s">
        <v>31</v>
      </c>
    </row>
    <row r="17" customFormat="false" ht="12.8" hidden="false" customHeight="false" outlineLevel="0" collapsed="false">
      <c r="A17" s="11" t="s">
        <v>34</v>
      </c>
      <c r="F17" s="13"/>
      <c r="K17" s="12" t="str">
        <f aca="false">K13&amp;" &amp;&amp; "&amp;K14&amp;" &amp;&amp; "&amp;K15&amp;" &amp;&amp; "&amp;K16</f>
        <v>env OPENAI_API_KEY=sk-none OPENAI_BASE_URL=http://localhost:9999/v1 BFCL_PROJECT_ROOT=/home/p/Code/local/burrito-evals/data/bfcl_v4/llamacpp_chat_medium_t-0_b-1_f-0_s-69421337 bfcl generate --model gpt-oss-20b-chat --test-category=irrelevance,live_relevance,simple_javascript --temperature=0.0000 --num-threads=1 &amp;&amp; env OPENAI_API_KEY=sk-none OPENAI_BASE_URL=http://localhost:9999/v1 BFCL_PROJECT_ROOT=/home/p/Code/local/burrito-evals/data/bfcl_v4/llamacpp_responses_medium_t-0_b-1_f-0_s-69421337 bfcl generate --model gpt-oss-20b-responses --test-category=irrelevance,live_relevance,simple_javascript --temperature=0.0000 --num-threads=1 &amp;&amp; env OPENAI_API_KEY=sk-none OPENAI_BASE_URL=http://localhost:8888/v1 BFCL_PROJECT_ROOT=/home/p/Code/local/burrito-evals/data/bfcl_v4/burrito@llamacpp_chat_medium_t-0_b-1_f-0_s-69421337 bfcl generate --model gpt-oss-20b-chat --test-category=irrelevance,live_relevance,simple_javascript --temperature=0.0000 --num-threads=1 &amp;&amp; env OPENAI_API_KEY=sk-none OPENAI_BASE_URL=http://localhost:8888/v1 BFCL_PROJECT_ROOT=/home/p/Code/local/burrito-evals/data/bfcl_v4/burrito@llamacpp_responses_medium_t-0_b-1_f-0_s-69421337 bfcl generate --model gpt-oss-20b-responses --test-category=irrelevance,live_relevance,simple_javascript --temperature=0.0000 --num-threads=1</v>
      </c>
      <c r="L17" s="12" t="str">
        <f aca="false">L13&amp;" &amp;&amp; "&amp;L14&amp;" &amp;&amp; "&amp;L15&amp;" &amp;&amp; "&amp;L16</f>
        <v>env OPENAI_API_KEY=sk-none BFCL_PROJECT_ROOT=/home/p/Code/local/burrito-evals/data/bfcl_v4/llamacpp_chat_medium_t-0_b-1_f-0_s-69421337 bfcl evaluate --model gpt-oss-20b-chat --test-category=irrelevance,live_relevance,simple_javascript &amp;&amp; env OPENAI_API_KEY=sk-none BFCL_PROJECT_ROOT=/home/p/Code/local/burrito-evals/data/bfcl_v4/llamacpp_responses_medium_t-0_b-1_f-0_s-69421337 bfcl evaluate --model gpt-oss-20b-responses --test-category=irrelevance,live_relevance,simple_javascript &amp;&amp; env OPENAI_API_KEY=sk-none BFCL_PROJECT_ROOT=/home/p/Code/local/burrito-evals/data/bfcl_v4/burrito@llamacpp_chat_medium_t-0_b-1_f-0_s-69421337 bfcl evaluate --model gpt-oss-20b-chat --test-category=irrelevance,live_relevance,simple_javascript &amp;&amp; env OPENAI_API_KEY=sk-none BFCL_PROJECT_ROOT=/home/p/Code/local/burrito-evals/data/bfcl_v4/burrito@llamacpp_responses_medium_t-0_b-1_f-0_s-69421337 bfcl evaluate --model gpt-oss-20b-responses --test-category=irrelevance,live_relevance,simple_javascript</v>
      </c>
      <c r="M17" s="1" t="s">
        <v>31</v>
      </c>
    </row>
    <row r="18" customFormat="false" ht="12.8" hidden="false" customHeight="false" outlineLevel="0" collapsed="false">
      <c r="A18" s="1" t="s">
        <v>27</v>
      </c>
      <c r="B18" s="1" t="str">
        <f aca="false">B$4</f>
        <v>http://localhost:9999/v1</v>
      </c>
      <c r="C18" s="1" t="s">
        <v>28</v>
      </c>
      <c r="D18" s="2" t="n">
        <v>1</v>
      </c>
      <c r="E18" s="2" t="s">
        <v>29</v>
      </c>
      <c r="F18" s="13" t="n">
        <v>0</v>
      </c>
      <c r="G18" s="2" t="n">
        <v>1</v>
      </c>
      <c r="H18" s="1" t="n">
        <v>69421337</v>
      </c>
      <c r="I18" s="1" t="str">
        <f aca="false">A18&amp;"_"&amp;C18&amp;"_"&amp;E18&amp;"_t-"&amp;F18&amp;"_b-"&amp;G18&amp;"_f-"&amp;D18&amp;"_s-"&amp;H18</f>
        <v>llamacpp_chat_medium_t-0_b-1_f-1_s-69421337</v>
      </c>
      <c r="J18" s="1" t="s">
        <v>30</v>
      </c>
      <c r="K18" s="1" t="str">
        <f aca="false">"env OPENAI_API_KEY=sk-none OPENAI_BASE_URL="&amp;B18&amp;" BFCL_PROJECT_ROOT="&amp;$B$3&amp;I18&amp;" bfcl generate --model "&amp;$B$2&amp;C18&amp;IF(D18=1,"-FC","")&amp;" --test-category="&amp;J18&amp;" --temperature="&amp;TEXT(F18,"0.0000")&amp;" --num-threads="&amp;G18</f>
        <v>env OPENAI_API_KEY=sk-none OPENAI_BASE_URL=http://localhost:9999/v1 BFCL_PROJECT_ROOT=/home/p/Code/local/burrito-evals/data/bfcl_v4/llamacpp_chat_medium_t-0_b-1_f-1_s-69421337 bfcl generate --model gpt-oss-20b-chat-FC --test-category=irrelevance,live_relevance,simple_javascript --temperature=0.0000 --num-threads=1</v>
      </c>
      <c r="L18" s="1" t="str">
        <f aca="false">"env OPENAI_API_KEY=sk-none BFCL_PROJECT_ROOT="&amp;$B$3&amp;I18&amp;" bfcl evaluate --model "&amp;$B$2&amp;C18&amp;IF(D18=1,"-FC","")&amp;" --test-category="&amp;J18</f>
        <v>env OPENAI_API_KEY=sk-none BFCL_PROJECT_ROOT=/home/p/Code/local/burrito-evals/data/bfcl_v4/llamacpp_chat_medium_t-0_b-1_f-1_s-69421337 bfcl evaluate --model gpt-oss-20b-chat-FC --test-category=irrelevance,live_relevance,simple_javascript</v>
      </c>
      <c r="M18" s="1" t="s">
        <v>31</v>
      </c>
    </row>
    <row r="19" customFormat="false" ht="12.8" hidden="false" customHeight="false" outlineLevel="0" collapsed="false">
      <c r="A19" s="1" t="s">
        <v>27</v>
      </c>
      <c r="B19" s="1" t="str">
        <f aca="false">B$4</f>
        <v>http://localhost:9999/v1</v>
      </c>
      <c r="C19" s="1" t="s">
        <v>32</v>
      </c>
      <c r="D19" s="2" t="n">
        <v>1</v>
      </c>
      <c r="E19" s="2" t="s">
        <v>29</v>
      </c>
      <c r="F19" s="13" t="n">
        <v>0</v>
      </c>
      <c r="G19" s="2" t="n">
        <v>1</v>
      </c>
      <c r="H19" s="1" t="n">
        <v>69421337</v>
      </c>
      <c r="I19" s="1" t="str">
        <f aca="false">A19&amp;"_"&amp;C19&amp;"_"&amp;E19&amp;"_t-"&amp;F19&amp;"_b-"&amp;G19&amp;"_f-"&amp;D19&amp;"_s-"&amp;H19</f>
        <v>llamacpp_responses_medium_t-0_b-1_f-1_s-69421337</v>
      </c>
      <c r="J19" s="1" t="s">
        <v>30</v>
      </c>
      <c r="K19" s="1" t="str">
        <f aca="false">"env OPENAI_API_KEY=sk-none OPENAI_BASE_URL="&amp;B19&amp;" BFCL_PROJECT_ROOT="&amp;$B$3&amp;I19&amp;" bfcl generate --model "&amp;$B$2&amp;C19&amp;IF(D19=1,"-FC","")&amp;" --test-category="&amp;J19&amp;" --temperature="&amp;TEXT(F19,"0.0000")&amp;" --num-threads="&amp;G19</f>
        <v>env OPENAI_API_KEY=sk-none OPENAI_BASE_URL=http://localhost:9999/v1 BFCL_PROJECT_ROOT=/home/p/Code/local/burrito-evals/data/bfcl_v4/llamacpp_responses_medium_t-0_b-1_f-1_s-69421337 bfcl generate --model gpt-oss-20b-responses-FC --test-category=irrelevance,live_relevance,simple_javascript --temperature=0.0000 --num-threads=1</v>
      </c>
      <c r="L19" s="1" t="str">
        <f aca="false">"env OPENAI_API_KEY=sk-none BFCL_PROJECT_ROOT="&amp;$B$3&amp;I19&amp;" bfcl evaluate --model "&amp;$B$2&amp;C19&amp;IF(D19=1,"-FC","")&amp;" --test-category="&amp;J19</f>
        <v>env OPENAI_API_KEY=sk-none BFCL_PROJECT_ROOT=/home/p/Code/local/burrito-evals/data/bfcl_v4/llamacpp_responses_medium_t-0_b-1_f-1_s-69421337 bfcl evaluate --model gpt-oss-20b-responses-FC --test-category=irrelevance,live_relevance,simple_javascript</v>
      </c>
      <c r="M19" s="1" t="s">
        <v>31</v>
      </c>
    </row>
    <row r="20" customFormat="false" ht="12.8" hidden="false" customHeight="false" outlineLevel="0" collapsed="false">
      <c r="A20" s="1" t="s">
        <v>33</v>
      </c>
      <c r="B20" s="1" t="str">
        <f aca="false">B$6</f>
        <v>http://localhost:8888/v1</v>
      </c>
      <c r="C20" s="1" t="s">
        <v>28</v>
      </c>
      <c r="D20" s="2" t="n">
        <v>1</v>
      </c>
      <c r="E20" s="2" t="s">
        <v>29</v>
      </c>
      <c r="F20" s="13" t="n">
        <v>0</v>
      </c>
      <c r="G20" s="2" t="n">
        <v>1</v>
      </c>
      <c r="H20" s="1" t="n">
        <v>69421337</v>
      </c>
      <c r="I20" s="1" t="str">
        <f aca="false">A20&amp;"_"&amp;C20&amp;"_"&amp;E20&amp;"_t-"&amp;F20&amp;"_b-"&amp;G20&amp;"_f-"&amp;D20&amp;"_s-"&amp;H20</f>
        <v>burrito@llamacpp_chat_medium_t-0_b-1_f-1_s-69421337</v>
      </c>
      <c r="J20" s="1" t="s">
        <v>30</v>
      </c>
      <c r="K20" s="1" t="str">
        <f aca="false">"env OPENAI_API_KEY=sk-none OPENAI_BASE_URL="&amp;B20&amp;" BFCL_PROJECT_ROOT="&amp;$B$3&amp;I20&amp;" bfcl generate --model "&amp;$B$2&amp;C20&amp;IF(D20=1,"-FC","")&amp;" --test-category="&amp;J20&amp;" --temperature="&amp;TEXT(F20,"0.0000")&amp;" --num-threads="&amp;G20</f>
        <v>env OPENAI_API_KEY=sk-none OPENAI_BASE_URL=http://localhost:8888/v1 BFCL_PROJECT_ROOT=/home/p/Code/local/burrito-evals/data/bfcl_v4/burrito@llamacpp_chat_medium_t-0_b-1_f-1_s-69421337 bfcl generate --model gpt-oss-20b-chat-FC --test-category=irrelevance,live_relevance,simple_javascript --temperature=0.0000 --num-threads=1</v>
      </c>
      <c r="L20" s="1" t="str">
        <f aca="false">"env OPENAI_API_KEY=sk-none BFCL_PROJECT_ROOT="&amp;$B$3&amp;I20&amp;" bfcl evaluate --model "&amp;$B$2&amp;C20&amp;IF(D20=1,"-FC","")&amp;" --test-category="&amp;J20</f>
        <v>env OPENAI_API_KEY=sk-none BFCL_PROJECT_ROOT=/home/p/Code/local/burrito-evals/data/bfcl_v4/burrito@llamacpp_chat_medium_t-0_b-1_f-1_s-69421337 bfcl evaluate --model gpt-oss-20b-chat-FC --test-category=irrelevance,live_relevance,simple_javascript</v>
      </c>
      <c r="M20" s="1" t="s">
        <v>31</v>
      </c>
    </row>
    <row r="21" customFormat="false" ht="12.8" hidden="false" customHeight="false" outlineLevel="0" collapsed="false">
      <c r="A21" s="1" t="s">
        <v>33</v>
      </c>
      <c r="B21" s="1" t="str">
        <f aca="false">B$6</f>
        <v>http://localhost:8888/v1</v>
      </c>
      <c r="C21" s="1" t="s">
        <v>32</v>
      </c>
      <c r="D21" s="2" t="n">
        <v>1</v>
      </c>
      <c r="E21" s="2" t="s">
        <v>29</v>
      </c>
      <c r="F21" s="13" t="n">
        <v>0</v>
      </c>
      <c r="G21" s="2" t="n">
        <v>1</v>
      </c>
      <c r="H21" s="1" t="n">
        <v>69421337</v>
      </c>
      <c r="I21" s="1" t="str">
        <f aca="false">A21&amp;"_"&amp;C21&amp;"_"&amp;E21&amp;"_t-"&amp;F21&amp;"_b-"&amp;G21&amp;"_f-"&amp;D21&amp;"_s-"&amp;H21</f>
        <v>burrito@llamacpp_responses_medium_t-0_b-1_f-1_s-69421337</v>
      </c>
      <c r="J21" s="1" t="s">
        <v>30</v>
      </c>
      <c r="K21" s="1" t="str">
        <f aca="false">"env OPENAI_API_KEY=sk-none OPENAI_BASE_URL="&amp;B21&amp;" BFCL_PROJECT_ROOT="&amp;$B$3&amp;I21&amp;" bfcl generate --model "&amp;$B$2&amp;C21&amp;IF(D21=1,"-FC","")&amp;" --test-category="&amp;J21&amp;" --temperature="&amp;TEXT(F21,"0.0000")&amp;" --num-threads="&amp;G21</f>
        <v>env OPENAI_API_KEY=sk-none OPENAI_BASE_URL=http://localhost:8888/v1 BFCL_PROJECT_ROOT=/home/p/Code/local/burrito-evals/data/bfcl_v4/burrito@llamacpp_responses_medium_t-0_b-1_f-1_s-69421337 bfcl generate --model gpt-oss-20b-responses-FC --test-category=irrelevance,live_relevance,simple_javascript --temperature=0.0000 --num-threads=1</v>
      </c>
      <c r="L21" s="1" t="str">
        <f aca="false">"env OPENAI_API_KEY=sk-none BFCL_PROJECT_ROOT="&amp;$B$3&amp;I21&amp;" bfcl evaluate --model "&amp;$B$2&amp;C21&amp;IF(D21=1,"-FC","")&amp;" --test-category="&amp;J21</f>
        <v>env OPENAI_API_KEY=sk-none BFCL_PROJECT_ROOT=/home/p/Code/local/burrito-evals/data/bfcl_v4/burrito@llamacpp_responses_medium_t-0_b-1_f-1_s-69421337 bfcl evaluate --model gpt-oss-20b-responses-FC --test-category=irrelevance,live_relevance,simple_javascript</v>
      </c>
      <c r="M21" s="1" t="s">
        <v>31</v>
      </c>
    </row>
    <row r="22" customFormat="false" ht="12.8" hidden="false" customHeight="false" outlineLevel="0" collapsed="false">
      <c r="F22" s="13"/>
      <c r="K22" s="12" t="str">
        <f aca="false">K18&amp;" &amp;&amp; "&amp;K19&amp;" &amp;&amp; "&amp;K20&amp;" &amp;&amp; "&amp;K21</f>
        <v>env OPENAI_API_KEY=sk-none OPENAI_BASE_URL=http://localhost:9999/v1 BFCL_PROJECT_ROOT=/home/p/Code/local/burrito-evals/data/bfcl_v4/llamacpp_chat_medium_t-0_b-1_f-1_s-69421337 bfcl generate --model gpt-oss-20b-chat-FC --test-category=irrelevance,live_relevance,simple_javascript --temperature=0.0000 --num-threads=1 &amp;&amp; env OPENAI_API_KEY=sk-none OPENAI_BASE_URL=http://localhost:9999/v1 BFCL_PROJECT_ROOT=/home/p/Code/local/burrito-evals/data/bfcl_v4/llamacpp_responses_medium_t-0_b-1_f-1_s-69421337 bfcl generate --model gpt-oss-20b-responses-FC --test-category=irrelevance,live_relevance,simple_javascript --temperature=0.0000 --num-threads=1 &amp;&amp; env OPENAI_API_KEY=sk-none OPENAI_BASE_URL=http://localhost:8888/v1 BFCL_PROJECT_ROOT=/home/p/Code/local/burrito-evals/data/bfcl_v4/burrito@llamacpp_chat_medium_t-0_b-1_f-1_s-69421337 bfcl generate --model gpt-oss-20b-chat-FC --test-category=irrelevance,live_relevance,simple_javascript --temperature=0.0000 --num-threads=1 &amp;&amp; env OPENAI_API_KEY=sk-none OPENAI_BASE_URL=http://localhost:8888/v1 BFCL_PROJECT_ROOT=/home/p/Code/local/burrito-evals/data/bfcl_v4/burrito@llamacpp_responses_medium_t-0_b-1_f-1_s-69421337 bfcl generate --model gpt-oss-20b-responses-FC --test-category=irrelevance,live_relevance,simple_javascript --temperature=0.0000 --num-threads=1</v>
      </c>
      <c r="L22" s="12" t="str">
        <f aca="false">L18&amp;" &amp;&amp; "&amp;L19&amp;" &amp;&amp; "&amp;L20&amp;" &amp;&amp; "&amp;L21</f>
        <v>env OPENAI_API_KEY=sk-none BFCL_PROJECT_ROOT=/home/p/Code/local/burrito-evals/data/bfcl_v4/llamacpp_chat_medium_t-0_b-1_f-1_s-69421337 bfcl evaluate --model gpt-oss-20b-chat-FC --test-category=irrelevance,live_relevance,simple_javascript &amp;&amp; env OPENAI_API_KEY=sk-none BFCL_PROJECT_ROOT=/home/p/Code/local/burrito-evals/data/bfcl_v4/llamacpp_responses_medium_t-0_b-1_f-1_s-69421337 bfcl evaluate --model gpt-oss-20b-responses-FC --test-category=irrelevance,live_relevance,simple_javascript &amp;&amp; env OPENAI_API_KEY=sk-none BFCL_PROJECT_ROOT=/home/p/Code/local/burrito-evals/data/bfcl_v4/burrito@llamacpp_chat_medium_t-0_b-1_f-1_s-69421337 bfcl evaluate --model gpt-oss-20b-chat-FC --test-category=irrelevance,live_relevance,simple_javascript &amp;&amp; env OPENAI_API_KEY=sk-none BFCL_PROJECT_ROOT=/home/p/Code/local/burrito-evals/data/bfcl_v4/burrito@llamacpp_responses_medium_t-0_b-1_f-1_s-69421337 bfcl evaluate --model gpt-oss-20b-responses-FC --test-category=irrelevance,live_relevance,simple_javascript</v>
      </c>
      <c r="M22" s="1" t="s">
        <v>31</v>
      </c>
    </row>
    <row r="23" customFormat="false" ht="12.8" hidden="false" customHeight="false" outlineLevel="0" collapsed="false">
      <c r="A23" s="11" t="s">
        <v>26</v>
      </c>
      <c r="F23" s="13"/>
      <c r="K23" s="12"/>
      <c r="L23" s="12"/>
    </row>
    <row r="24" customFormat="false" ht="12.8" hidden="false" customHeight="false" outlineLevel="0" collapsed="false">
      <c r="A24" s="1" t="s">
        <v>35</v>
      </c>
      <c r="B24" s="1" t="str">
        <f aca="false">B$5</f>
        <v>http://localhost:9999/v1</v>
      </c>
      <c r="C24" s="1" t="s">
        <v>28</v>
      </c>
      <c r="D24" s="2" t="n">
        <v>0</v>
      </c>
      <c r="E24" s="2" t="s">
        <v>29</v>
      </c>
      <c r="F24" s="13" t="n">
        <v>0</v>
      </c>
      <c r="G24" s="2" t="n">
        <v>1</v>
      </c>
      <c r="H24" s="1" t="n">
        <v>69421337</v>
      </c>
      <c r="I24" s="1" t="str">
        <f aca="false">A24&amp;"_"&amp;C24&amp;"_"&amp;E24&amp;"_t-"&amp;F24&amp;"_b-"&amp;G24&amp;"_f-"&amp;D24&amp;"_s-"&amp;H24</f>
        <v>vllm_chat_medium_t-0_b-1_f-0_s-69421337</v>
      </c>
      <c r="J24" s="1" t="s">
        <v>30</v>
      </c>
      <c r="K24" s="1" t="str">
        <f aca="false">"env OPENAI_API_KEY=sk-none OPENAI_BASE_URL="&amp;B24&amp;" BFCL_PROJECT_ROOT="&amp;$B$3&amp;I24&amp;" bfcl generate --model "&amp;$B$2&amp;C24&amp;IF(D24=1,"-FC","")&amp;" --test-category="&amp;J24&amp;" --temperature="&amp;TEXT(F24,"0.0000")&amp;" --num-threads="&amp;G24</f>
        <v>env OPENAI_API_KEY=sk-none OPENAI_BASE_URL=http://localhost:9999/v1 BFCL_PROJECT_ROOT=/home/p/Code/local/burrito-evals/data/bfcl_v4/vllm_chat_medium_t-0_b-1_f-0_s-69421337 bfcl generate --model gpt-oss-20b-chat --test-category=irrelevance,live_relevance,simple_javascript --temperature=0.0000 --num-threads=1</v>
      </c>
      <c r="L24" s="1" t="str">
        <f aca="false">"env OPENAI_API_KEY=sk-none BFCL_PROJECT_ROOT="&amp;$B$3&amp;I24&amp;" bfcl evaluate --model "&amp;$B$2&amp;C24&amp;IF(D24=1,"-FC","")&amp;" --test-category="&amp;J24</f>
        <v>env OPENAI_API_KEY=sk-none BFCL_PROJECT_ROOT=/home/p/Code/local/burrito-evals/data/bfcl_v4/vllm_chat_medium_t-0_b-1_f-0_s-69421337 bfcl evaluate --model gpt-oss-20b-chat --test-category=irrelevance,live_relevance,simple_javascript</v>
      </c>
      <c r="M24" s="1" t="s">
        <v>36</v>
      </c>
    </row>
    <row r="25" customFormat="false" ht="12.8" hidden="false" customHeight="false" outlineLevel="0" collapsed="false">
      <c r="A25" s="1" t="s">
        <v>35</v>
      </c>
      <c r="B25" s="1" t="str">
        <f aca="false">B$5</f>
        <v>http://localhost:9999/v1</v>
      </c>
      <c r="C25" s="1" t="s">
        <v>32</v>
      </c>
      <c r="D25" s="2" t="n">
        <v>0</v>
      </c>
      <c r="E25" s="2" t="s">
        <v>29</v>
      </c>
      <c r="F25" s="13" t="n">
        <v>0</v>
      </c>
      <c r="G25" s="2" t="n">
        <v>1</v>
      </c>
      <c r="H25" s="1" t="n">
        <v>69421337</v>
      </c>
      <c r="I25" s="1" t="str">
        <f aca="false">A25&amp;"_"&amp;C25&amp;"_"&amp;E25&amp;"_t-"&amp;F25&amp;"_b-"&amp;G25&amp;"_f-"&amp;D25&amp;"_s-"&amp;H25</f>
        <v>vllm_responses_medium_t-0_b-1_f-0_s-69421337</v>
      </c>
      <c r="J25" s="1" t="s">
        <v>30</v>
      </c>
      <c r="K25" s="1" t="str">
        <f aca="false">"env OPENAI_API_KEY=sk-none OPENAI_BASE_URL="&amp;B25&amp;" BFCL_PROJECT_ROOT="&amp;$B$3&amp;I25&amp;" bfcl generate --model "&amp;$B$2&amp;C25&amp;IF(D25=1,"-FC","")&amp;" --test-category="&amp;J25&amp;" --temperature="&amp;TEXT(F25,"0.0000")&amp;" --num-threads="&amp;G25</f>
        <v>env OPENAI_API_KEY=sk-none OPENAI_BASE_URL=http://localhost:9999/v1 BFCL_PROJECT_ROOT=/home/p/Code/local/burrito-evals/data/bfcl_v4/vllm_responses_medium_t-0_b-1_f-0_s-69421337 bfcl generate --model gpt-oss-20b-responses --test-category=irrelevance,live_relevance,simple_javascript --temperature=0.0000 --num-threads=1</v>
      </c>
      <c r="L25" s="1" t="str">
        <f aca="false">"env OPENAI_API_KEY=sk-none BFCL_PROJECT_ROOT="&amp;$B$3&amp;I25&amp;" bfcl evaluate --model "&amp;$B$2&amp;C25&amp;IF(D25=1,"-FC","")&amp;" --test-category="&amp;J25</f>
        <v>env OPENAI_API_KEY=sk-none BFCL_PROJECT_ROOT=/home/p/Code/local/burrito-evals/data/bfcl_v4/vllm_responses_medium_t-0_b-1_f-0_s-69421337 bfcl evaluate --model gpt-oss-20b-responses --test-category=irrelevance,live_relevance,simple_javascript</v>
      </c>
      <c r="M25" s="1" t="s">
        <v>36</v>
      </c>
    </row>
    <row r="26" customFormat="false" ht="12.8" hidden="false" customHeight="false" outlineLevel="0" collapsed="false">
      <c r="A26" s="1" t="s">
        <v>37</v>
      </c>
      <c r="B26" s="1" t="str">
        <f aca="false">B$6</f>
        <v>http://localhost:8888/v1</v>
      </c>
      <c r="C26" s="1" t="s">
        <v>28</v>
      </c>
      <c r="D26" s="2" t="n">
        <v>0</v>
      </c>
      <c r="E26" s="2" t="s">
        <v>29</v>
      </c>
      <c r="F26" s="13" t="n">
        <v>0</v>
      </c>
      <c r="G26" s="2" t="n">
        <v>1</v>
      </c>
      <c r="H26" s="1" t="n">
        <v>69421337</v>
      </c>
      <c r="I26" s="1" t="str">
        <f aca="false">A26&amp;"_"&amp;C26&amp;"_"&amp;E26&amp;"_t-"&amp;F26&amp;"_b-"&amp;G26&amp;"_f-"&amp;D26&amp;"_s-"&amp;H26</f>
        <v>burrito@vllm_chat_medium_t-0_b-1_f-0_s-69421337</v>
      </c>
      <c r="J26" s="1" t="s">
        <v>30</v>
      </c>
      <c r="K26" s="1" t="str">
        <f aca="false">"env OPENAI_API_KEY=sk-none OPENAI_BASE_URL="&amp;B26&amp;" BFCL_PROJECT_ROOT="&amp;$B$3&amp;I26&amp;" bfcl generate --model "&amp;$B$2&amp;C26&amp;IF(D26=1,"-FC","")&amp;" --test-category="&amp;J26&amp;" --temperature="&amp;TEXT(F26,"0.0000")&amp;" --num-threads="&amp;G26</f>
        <v>env OPENAI_API_KEY=sk-none OPENAI_BASE_URL=http://localhost:8888/v1 BFCL_PROJECT_ROOT=/home/p/Code/local/burrito-evals/data/bfcl_v4/burrito@vllm_chat_medium_t-0_b-1_f-0_s-69421337 bfcl generate --model gpt-oss-20b-chat --test-category=irrelevance,live_relevance,simple_javascript --temperature=0.0000 --num-threads=1</v>
      </c>
      <c r="L26" s="1" t="str">
        <f aca="false">"env OPENAI_API_KEY=sk-none BFCL_PROJECT_ROOT="&amp;$B$3&amp;I26&amp;" bfcl evaluate --model "&amp;$B$2&amp;C26&amp;IF(D26=1,"-FC","")&amp;" --test-category="&amp;J26</f>
        <v>env OPENAI_API_KEY=sk-none BFCL_PROJECT_ROOT=/home/p/Code/local/burrito-evals/data/bfcl_v4/burrito@vllm_chat_medium_t-0_b-1_f-0_s-69421337 bfcl evaluate --model gpt-oss-20b-chat --test-category=irrelevance,live_relevance,simple_javascript</v>
      </c>
      <c r="M26" s="1" t="s">
        <v>36</v>
      </c>
    </row>
    <row r="27" customFormat="false" ht="12.8" hidden="false" customHeight="false" outlineLevel="0" collapsed="false">
      <c r="A27" s="1" t="s">
        <v>37</v>
      </c>
      <c r="B27" s="1" t="str">
        <f aca="false">B$6</f>
        <v>http://localhost:8888/v1</v>
      </c>
      <c r="C27" s="1" t="s">
        <v>32</v>
      </c>
      <c r="D27" s="2" t="n">
        <v>0</v>
      </c>
      <c r="E27" s="2" t="s">
        <v>29</v>
      </c>
      <c r="F27" s="13" t="n">
        <v>0</v>
      </c>
      <c r="G27" s="2" t="n">
        <v>1</v>
      </c>
      <c r="H27" s="1" t="n">
        <v>69421337</v>
      </c>
      <c r="I27" s="1" t="str">
        <f aca="false">A27&amp;"_"&amp;C27&amp;"_"&amp;E27&amp;"_t-"&amp;F27&amp;"_b-"&amp;G27&amp;"_f-"&amp;D27&amp;"_s-"&amp;H27</f>
        <v>burrito@vllm_responses_medium_t-0_b-1_f-0_s-69421337</v>
      </c>
      <c r="J27" s="1" t="s">
        <v>30</v>
      </c>
      <c r="K27" s="1" t="str">
        <f aca="false">"env OPENAI_API_KEY=sk-none OPENAI_BASE_URL="&amp;B27&amp;" BFCL_PROJECT_ROOT="&amp;$B$3&amp;I27&amp;" bfcl generate --model "&amp;$B$2&amp;C27&amp;IF(D27=1,"-FC","")&amp;" --test-category="&amp;J27&amp;" --temperature="&amp;TEXT(F27,"0.0000")&amp;" --num-threads="&amp;G27</f>
        <v>env OPENAI_API_KEY=sk-none OPENAI_BASE_URL=http://localhost:8888/v1 BFCL_PROJECT_ROOT=/home/p/Code/local/burrito-evals/data/bfcl_v4/burrito@vllm_responses_medium_t-0_b-1_f-0_s-69421337 bfcl generate --model gpt-oss-20b-responses --test-category=irrelevance,live_relevance,simple_javascript --temperature=0.0000 --num-threads=1</v>
      </c>
      <c r="L27" s="1" t="str">
        <f aca="false">"env OPENAI_API_KEY=sk-none BFCL_PROJECT_ROOT="&amp;$B$3&amp;I27&amp;" bfcl evaluate --model "&amp;$B$2&amp;C27&amp;IF(D27=1,"-FC","")&amp;" --test-category="&amp;J27</f>
        <v>env OPENAI_API_KEY=sk-none BFCL_PROJECT_ROOT=/home/p/Code/local/burrito-evals/data/bfcl_v4/burrito@vllm_responses_medium_t-0_b-1_f-0_s-69421337 bfcl evaluate --model gpt-oss-20b-responses --test-category=irrelevance,live_relevance,simple_javascript</v>
      </c>
      <c r="M27" s="1" t="s">
        <v>36</v>
      </c>
    </row>
    <row r="28" customFormat="false" ht="12.8" hidden="false" customHeight="false" outlineLevel="0" collapsed="false">
      <c r="A28" s="11" t="s">
        <v>34</v>
      </c>
      <c r="F28" s="13"/>
      <c r="K28" s="12" t="str">
        <f aca="false">K24&amp;" &amp;&amp; "&amp;K25&amp;" &amp;&amp; "&amp;K26&amp;" &amp;&amp; "&amp;K27</f>
        <v>env OPENAI_API_KEY=sk-none OPENAI_BASE_URL=http://localhost:9999/v1 BFCL_PROJECT_ROOT=/home/p/Code/local/burrito-evals/data/bfcl_v4/vllm_chat_medium_t-0_b-1_f-0_s-69421337 bfcl generate --model gpt-oss-20b-chat --test-category=irrelevance,live_relevance,simple_javascript --temperature=0.0000 --num-threads=1 &amp;&amp; env OPENAI_API_KEY=sk-none OPENAI_BASE_URL=http://localhost:9999/v1 BFCL_PROJECT_ROOT=/home/p/Code/local/burrito-evals/data/bfcl_v4/vllm_responses_medium_t-0_b-1_f-0_s-69421337 bfcl generate --model gpt-oss-20b-responses --test-category=irrelevance,live_relevance,simple_javascript --temperature=0.0000 --num-threads=1 &amp;&amp; env OPENAI_API_KEY=sk-none OPENAI_BASE_URL=http://localhost:8888/v1 BFCL_PROJECT_ROOT=/home/p/Code/local/burrito-evals/data/bfcl_v4/burrito@vllm_chat_medium_t-0_b-1_f-0_s-69421337 bfcl generate --model gpt-oss-20b-chat --test-category=irrelevance,live_relevance,simple_javascript --temperature=0.0000 --num-threads=1 &amp;&amp; env OPENAI_API_KEY=sk-none OPENAI_BASE_URL=http://localhost:8888/v1 BFCL_PROJECT_ROOT=/home/p/Code/local/burrito-evals/data/bfcl_v4/burrito@vllm_responses_medium_t-0_b-1_f-0_s-69421337 bfcl generate --model gpt-oss-20b-responses --test-category=irrelevance,live_relevance,simple_javascript --temperature=0.0000 --num-threads=1</v>
      </c>
      <c r="L28" s="12" t="str">
        <f aca="false">L24&amp;" &amp;&amp; "&amp;L25&amp;" &amp;&amp; "&amp;L26&amp;" &amp;&amp; "&amp;L27</f>
        <v>env OPENAI_API_KEY=sk-none BFCL_PROJECT_ROOT=/home/p/Code/local/burrito-evals/data/bfcl_v4/vllm_chat_medium_t-0_b-1_f-0_s-69421337 bfcl evaluate --model gpt-oss-20b-chat --test-category=irrelevance,live_relevance,simple_javascript &amp;&amp; env OPENAI_API_KEY=sk-none BFCL_PROJECT_ROOT=/home/p/Code/local/burrito-evals/data/bfcl_v4/vllm_responses_medium_t-0_b-1_f-0_s-69421337 bfcl evaluate --model gpt-oss-20b-responses --test-category=irrelevance,live_relevance,simple_javascript &amp;&amp; env OPENAI_API_KEY=sk-none BFCL_PROJECT_ROOT=/home/p/Code/local/burrito-evals/data/bfcl_v4/burrito@vllm_chat_medium_t-0_b-1_f-0_s-69421337 bfcl evaluate --model gpt-oss-20b-chat --test-category=irrelevance,live_relevance,simple_javascript &amp;&amp; env OPENAI_API_KEY=sk-none BFCL_PROJECT_ROOT=/home/p/Code/local/burrito-evals/data/bfcl_v4/burrito@vllm_responses_medium_t-0_b-1_f-0_s-69421337 bfcl evaluate --model gpt-oss-20b-responses --test-category=irrelevance,live_relevance,simple_javascript</v>
      </c>
      <c r="M28" s="1" t="s">
        <v>36</v>
      </c>
    </row>
    <row r="29" customFormat="false" ht="12.8" hidden="false" customHeight="false" outlineLevel="0" collapsed="false">
      <c r="A29" s="1" t="s">
        <v>35</v>
      </c>
      <c r="B29" s="1" t="str">
        <f aca="false">B$5</f>
        <v>http://localhost:9999/v1</v>
      </c>
      <c r="C29" s="1" t="s">
        <v>28</v>
      </c>
      <c r="D29" s="2" t="n">
        <v>1</v>
      </c>
      <c r="E29" s="2" t="s">
        <v>29</v>
      </c>
      <c r="F29" s="13" t="n">
        <v>0</v>
      </c>
      <c r="G29" s="2" t="n">
        <v>1</v>
      </c>
      <c r="H29" s="1" t="n">
        <v>69421337</v>
      </c>
      <c r="I29" s="1" t="str">
        <f aca="false">A29&amp;"_"&amp;C29&amp;"_"&amp;E29&amp;"_t-"&amp;F29&amp;"_b-"&amp;G29&amp;"_f-"&amp;D29&amp;"_s-"&amp;H29</f>
        <v>vllm_chat_medium_t-0_b-1_f-1_s-69421337</v>
      </c>
      <c r="J29" s="1" t="s">
        <v>30</v>
      </c>
      <c r="K29" s="1" t="str">
        <f aca="false">"env OPENAI_API_KEY=sk-none OPENAI_BASE_URL="&amp;B29&amp;" BFCL_PROJECT_ROOT="&amp;$B$3&amp;I29&amp;" bfcl generate --model "&amp;$B$2&amp;C29&amp;IF(D29=1,"-FC","")&amp;" --test-category="&amp;J29&amp;" --temperature="&amp;TEXT(F29,"0.0000")&amp;" --num-threads="&amp;G29</f>
        <v>env OPENAI_API_KEY=sk-none OPENAI_BASE_URL=http://localhost:9999/v1 BFCL_PROJECT_ROOT=/home/p/Code/local/burrito-evals/data/bfcl_v4/vllm_chat_medium_t-0_b-1_f-1_s-69421337 bfcl generate --model gpt-oss-20b-chat-FC --test-category=irrelevance,live_relevance,simple_javascript --temperature=0.0000 --num-threads=1</v>
      </c>
      <c r="L29" s="1" t="str">
        <f aca="false">"env OPENAI_API_KEY=sk-none BFCL_PROJECT_ROOT="&amp;$B$3&amp;I29&amp;" bfcl evaluate --model "&amp;$B$2&amp;C29&amp;IF(D29=1,"-FC","")&amp;" --test-category="&amp;J29</f>
        <v>env OPENAI_API_KEY=sk-none BFCL_PROJECT_ROOT=/home/p/Code/local/burrito-evals/data/bfcl_v4/vllm_chat_medium_t-0_b-1_f-1_s-69421337 bfcl evaluate --model gpt-oss-20b-chat-FC --test-category=irrelevance,live_relevance,simple_javascript</v>
      </c>
      <c r="M29" s="1" t="s">
        <v>36</v>
      </c>
    </row>
    <row r="30" customFormat="false" ht="12.8" hidden="false" customHeight="false" outlineLevel="0" collapsed="false">
      <c r="A30" s="1" t="s">
        <v>35</v>
      </c>
      <c r="B30" s="1" t="str">
        <f aca="false">B$5</f>
        <v>http://localhost:9999/v1</v>
      </c>
      <c r="C30" s="1" t="s">
        <v>32</v>
      </c>
      <c r="D30" s="2" t="n">
        <v>1</v>
      </c>
      <c r="E30" s="2" t="s">
        <v>29</v>
      </c>
      <c r="F30" s="13" t="n">
        <v>0</v>
      </c>
      <c r="G30" s="2" t="n">
        <v>1</v>
      </c>
      <c r="H30" s="1" t="n">
        <v>69421337</v>
      </c>
      <c r="I30" s="1" t="str">
        <f aca="false">A30&amp;"_"&amp;C30&amp;"_"&amp;E30&amp;"_t-"&amp;F30&amp;"_b-"&amp;G30&amp;"_f-"&amp;D30&amp;"_s-"&amp;H30</f>
        <v>vllm_responses_medium_t-0_b-1_f-1_s-69421337</v>
      </c>
      <c r="J30" s="1" t="s">
        <v>30</v>
      </c>
      <c r="K30" s="1" t="str">
        <f aca="false">"env OPENAI_API_KEY=sk-none OPENAI_BASE_URL="&amp;B30&amp;" BFCL_PROJECT_ROOT="&amp;$B$3&amp;I30&amp;" bfcl generate --model "&amp;$B$2&amp;C30&amp;IF(D30=1,"-FC","")&amp;" --test-category="&amp;J30&amp;" --temperature="&amp;TEXT(F30,"0.0000")&amp;" --num-threads="&amp;G30</f>
        <v>env OPENAI_API_KEY=sk-none OPENAI_BASE_URL=http://localhost:9999/v1 BFCL_PROJECT_ROOT=/home/p/Code/local/burrito-evals/data/bfcl_v4/vllm_responses_medium_t-0_b-1_f-1_s-69421337 bfcl generate --model gpt-oss-20b-responses-FC --test-category=irrelevance,live_relevance,simple_javascript --temperature=0.0000 --num-threads=1</v>
      </c>
      <c r="L30" s="1" t="str">
        <f aca="false">"env OPENAI_API_KEY=sk-none BFCL_PROJECT_ROOT="&amp;$B$3&amp;I30&amp;" bfcl evaluate --model "&amp;$B$2&amp;C30&amp;IF(D30=1,"-FC","")&amp;" --test-category="&amp;J30</f>
        <v>env OPENAI_API_KEY=sk-none BFCL_PROJECT_ROOT=/home/p/Code/local/burrito-evals/data/bfcl_v4/vllm_responses_medium_t-0_b-1_f-1_s-69421337 bfcl evaluate --model gpt-oss-20b-responses-FC --test-category=irrelevance,live_relevance,simple_javascript</v>
      </c>
      <c r="M30" s="1" t="s">
        <v>36</v>
      </c>
    </row>
    <row r="31" customFormat="false" ht="12.8" hidden="false" customHeight="false" outlineLevel="0" collapsed="false">
      <c r="A31" s="1" t="s">
        <v>37</v>
      </c>
      <c r="B31" s="1" t="str">
        <f aca="false">B$6</f>
        <v>http://localhost:8888/v1</v>
      </c>
      <c r="C31" s="1" t="s">
        <v>28</v>
      </c>
      <c r="D31" s="2" t="n">
        <v>1</v>
      </c>
      <c r="E31" s="2" t="s">
        <v>29</v>
      </c>
      <c r="F31" s="13" t="n">
        <v>0</v>
      </c>
      <c r="G31" s="2" t="n">
        <v>1</v>
      </c>
      <c r="H31" s="1" t="n">
        <v>69421337</v>
      </c>
      <c r="I31" s="1" t="str">
        <f aca="false">A31&amp;"_"&amp;C31&amp;"_"&amp;E31&amp;"_t-"&amp;F31&amp;"_b-"&amp;G31&amp;"_f-"&amp;D31&amp;"_s-"&amp;H31</f>
        <v>burrito@vllm_chat_medium_t-0_b-1_f-1_s-69421337</v>
      </c>
      <c r="J31" s="1" t="s">
        <v>30</v>
      </c>
      <c r="K31" s="1" t="str">
        <f aca="false">"env OPENAI_API_KEY=sk-none OPENAI_BASE_URL="&amp;B31&amp;" BFCL_PROJECT_ROOT="&amp;$B$3&amp;I31&amp;" bfcl generate --model "&amp;$B$2&amp;C31&amp;IF(D31=1,"-FC","")&amp;" --test-category="&amp;J31&amp;" --temperature="&amp;TEXT(F31,"0.0000")&amp;" --num-threads="&amp;G31</f>
        <v>env OPENAI_API_KEY=sk-none OPENAI_BASE_URL=http://localhost:8888/v1 BFCL_PROJECT_ROOT=/home/p/Code/local/burrito-evals/data/bfcl_v4/burrito@vllm_chat_medium_t-0_b-1_f-1_s-69421337 bfcl generate --model gpt-oss-20b-chat-FC --test-category=irrelevance,live_relevance,simple_javascript --temperature=0.0000 --num-threads=1</v>
      </c>
      <c r="L31" s="1" t="str">
        <f aca="false">"env OPENAI_API_KEY=sk-none BFCL_PROJECT_ROOT="&amp;$B$3&amp;I31&amp;" bfcl evaluate --model "&amp;$B$2&amp;C31&amp;IF(D31=1,"-FC","")&amp;" --test-category="&amp;J31</f>
        <v>env OPENAI_API_KEY=sk-none BFCL_PROJECT_ROOT=/home/p/Code/local/burrito-evals/data/bfcl_v4/burrito@vllm_chat_medium_t-0_b-1_f-1_s-69421337 bfcl evaluate --model gpt-oss-20b-chat-FC --test-category=irrelevance,live_relevance,simple_javascript</v>
      </c>
      <c r="M31" s="1" t="s">
        <v>36</v>
      </c>
    </row>
    <row r="32" customFormat="false" ht="12.8" hidden="false" customHeight="false" outlineLevel="0" collapsed="false">
      <c r="A32" s="1" t="s">
        <v>37</v>
      </c>
      <c r="B32" s="1" t="str">
        <f aca="false">B$6</f>
        <v>http://localhost:8888/v1</v>
      </c>
      <c r="C32" s="1" t="s">
        <v>32</v>
      </c>
      <c r="D32" s="2" t="n">
        <v>1</v>
      </c>
      <c r="E32" s="2" t="s">
        <v>29</v>
      </c>
      <c r="F32" s="13" t="n">
        <v>0</v>
      </c>
      <c r="G32" s="2" t="n">
        <v>1</v>
      </c>
      <c r="H32" s="1" t="n">
        <v>69421337</v>
      </c>
      <c r="I32" s="1" t="str">
        <f aca="false">A32&amp;"_"&amp;C32&amp;"_"&amp;E32&amp;"_t-"&amp;F32&amp;"_b-"&amp;G32&amp;"_f-"&amp;D32&amp;"_s-"&amp;H32</f>
        <v>burrito@vllm_responses_medium_t-0_b-1_f-1_s-69421337</v>
      </c>
      <c r="J32" s="1" t="s">
        <v>30</v>
      </c>
      <c r="K32" s="1" t="str">
        <f aca="false">"env OPENAI_API_KEY=sk-none OPENAI_BASE_URL="&amp;B32&amp;" BFCL_PROJECT_ROOT="&amp;$B$3&amp;I32&amp;" bfcl generate --model "&amp;$B$2&amp;C32&amp;IF(D32=1,"-FC","")&amp;" --test-category="&amp;J32&amp;" --temperature="&amp;TEXT(F32,"0.0000")&amp;" --num-threads="&amp;G32</f>
        <v>env OPENAI_API_KEY=sk-none OPENAI_BASE_URL=http://localhost:8888/v1 BFCL_PROJECT_ROOT=/home/p/Code/local/burrito-evals/data/bfcl_v4/burrito@vllm_responses_medium_t-0_b-1_f-1_s-69421337 bfcl generate --model gpt-oss-20b-responses-FC --test-category=irrelevance,live_relevance,simple_javascript --temperature=0.0000 --num-threads=1</v>
      </c>
      <c r="L32" s="1" t="str">
        <f aca="false">"env OPENAI_API_KEY=sk-none BFCL_PROJECT_ROOT="&amp;$B$3&amp;I32&amp;" bfcl evaluate --model "&amp;$B$2&amp;C32&amp;IF(D32=1,"-FC","")&amp;" --test-category="&amp;J32</f>
        <v>env OPENAI_API_KEY=sk-none BFCL_PROJECT_ROOT=/home/p/Code/local/burrito-evals/data/bfcl_v4/burrito@vllm_responses_medium_t-0_b-1_f-1_s-69421337 bfcl evaluate --model gpt-oss-20b-responses-FC --test-category=irrelevance,live_relevance,simple_javascript</v>
      </c>
      <c r="M32" s="1" t="s">
        <v>36</v>
      </c>
    </row>
    <row r="33" customFormat="false" ht="12.8" hidden="false" customHeight="false" outlineLevel="0" collapsed="false">
      <c r="J33" s="12"/>
      <c r="K33" s="12" t="str">
        <f aca="false">K29&amp;" &amp;&amp; "&amp;K30&amp;" &amp;&amp; "&amp;K31&amp;" &amp;&amp; "&amp;K32</f>
        <v>env OPENAI_API_KEY=sk-none OPENAI_BASE_URL=http://localhost:9999/v1 BFCL_PROJECT_ROOT=/home/p/Code/local/burrito-evals/data/bfcl_v4/vllm_chat_medium_t-0_b-1_f-1_s-69421337 bfcl generate --model gpt-oss-20b-chat-FC --test-category=irrelevance,live_relevance,simple_javascript --temperature=0.0000 --num-threads=1 &amp;&amp; env OPENAI_API_KEY=sk-none OPENAI_BASE_URL=http://localhost:9999/v1 BFCL_PROJECT_ROOT=/home/p/Code/local/burrito-evals/data/bfcl_v4/vllm_responses_medium_t-0_b-1_f-1_s-69421337 bfcl generate --model gpt-oss-20b-responses-FC --test-category=irrelevance,live_relevance,simple_javascript --temperature=0.0000 --num-threads=1 &amp;&amp; env OPENAI_API_KEY=sk-none OPENAI_BASE_URL=http://localhost:8888/v1 BFCL_PROJECT_ROOT=/home/p/Code/local/burrito-evals/data/bfcl_v4/burrito@vllm_chat_medium_t-0_b-1_f-1_s-69421337 bfcl generate --model gpt-oss-20b-chat-FC --test-category=irrelevance,live_relevance,simple_javascript --temperature=0.0000 --num-threads=1 &amp;&amp; env OPENAI_API_KEY=sk-none OPENAI_BASE_URL=http://localhost:8888/v1 BFCL_PROJECT_ROOT=/home/p/Code/local/burrito-evals/data/bfcl_v4/burrito@vllm_responses_medium_t-0_b-1_f-1_s-69421337 bfcl generate --model gpt-oss-20b-responses-FC --test-category=irrelevance,live_relevance,simple_javascript --temperature=0.0000 --num-threads=1</v>
      </c>
      <c r="L33" s="12" t="str">
        <f aca="false">L29&amp;" &amp;&amp; "&amp;L30&amp;" &amp;&amp; "&amp;L31&amp;" &amp;&amp; "&amp;L32</f>
        <v>env OPENAI_API_KEY=sk-none BFCL_PROJECT_ROOT=/home/p/Code/local/burrito-evals/data/bfcl_v4/vllm_chat_medium_t-0_b-1_f-1_s-69421337 bfcl evaluate --model gpt-oss-20b-chat-FC --test-category=irrelevance,live_relevance,simple_javascript &amp;&amp; env OPENAI_API_KEY=sk-none BFCL_PROJECT_ROOT=/home/p/Code/local/burrito-evals/data/bfcl_v4/vllm_responses_medium_t-0_b-1_f-1_s-69421337 bfcl evaluate --model gpt-oss-20b-responses-FC --test-category=irrelevance,live_relevance,simple_javascript &amp;&amp; env OPENAI_API_KEY=sk-none BFCL_PROJECT_ROOT=/home/p/Code/local/burrito-evals/data/bfcl_v4/burrito@vllm_chat_medium_t-0_b-1_f-1_s-69421337 bfcl evaluate --model gpt-oss-20b-chat-FC --test-category=irrelevance,live_relevance,simple_javascript &amp;&amp; env OPENAI_API_KEY=sk-none BFCL_PROJECT_ROOT=/home/p/Code/local/burrito-evals/data/bfcl_v4/burrito@vllm_responses_medium_t-0_b-1_f-1_s-69421337 bfcl evaluate --model gpt-oss-20b-responses-FC --test-category=irrelevance,live_relevance,simple_javascript</v>
      </c>
      <c r="M33" s="1" t="s">
        <v>36</v>
      </c>
      <c r="XFD33" s="14"/>
    </row>
    <row r="34" customFormat="false" ht="12.8" hidden="false" customHeight="false" outlineLevel="0" collapsed="false">
      <c r="A34" s="11" t="s">
        <v>26</v>
      </c>
      <c r="L34" s="12"/>
    </row>
    <row r="35" customFormat="false" ht="12.8" hidden="false" customHeight="false" outlineLevel="0" collapsed="false">
      <c r="A35" s="15" t="s">
        <v>38</v>
      </c>
      <c r="B35" s="1" t="str">
        <f aca="false">B$4</f>
        <v>http://localhost:9999/v1</v>
      </c>
      <c r="C35" s="1" t="s">
        <v>28</v>
      </c>
      <c r="D35" s="2" t="n">
        <v>0</v>
      </c>
      <c r="E35" s="2" t="s">
        <v>29</v>
      </c>
      <c r="F35" s="13" t="n">
        <v>0</v>
      </c>
      <c r="G35" s="2" t="n">
        <v>1</v>
      </c>
      <c r="H35" s="1" t="n">
        <v>69421337</v>
      </c>
      <c r="I35" s="1" t="str">
        <f aca="false">A35&amp;"_"&amp;C35&amp;"_"&amp;E35&amp;"_t-"&amp;F35&amp;"_b-"&amp;G35&amp;"_f-"&amp;D35&amp;"_s-"&amp;H35</f>
        <v>llamacpp@fixedjinja_chat_medium_t-0_b-1_f-0_s-69421337</v>
      </c>
      <c r="J35" s="1" t="s">
        <v>30</v>
      </c>
      <c r="K35" s="1" t="str">
        <f aca="false">"env OPENAI_API_KEY=sk-none OPENAI_BASE_URL="&amp;B35&amp;" BFCL_PROJECT_ROOT="&amp;$B$3&amp;I35&amp;" bfcl generate --model "&amp;$B$2&amp;C35&amp;IF(D35=1,"-FC","")&amp;" --test-category="&amp;J35&amp;" --temperature="&amp;TEXT(F35,"0.0000")&amp;" --num-threads="&amp;G35</f>
        <v>env OPENAI_API_KEY=sk-none OPENAI_BASE_URL=http://localhost:9999/v1 BFCL_PROJECT_ROOT=/home/p/Code/local/burrito-evals/data/bfcl_v4/llamacpp@fixedjinja_chat_medium_t-0_b-1_f-0_s-69421337 bfcl generate --model gpt-oss-20b-chat --test-category=irrelevance,live_relevance,simple_javascript --temperature=0.0000 --num-threads=1</v>
      </c>
      <c r="L35" s="1" t="str">
        <f aca="false">"env OPENAI_API_KEY=sk-none BFCL_PROJECT_ROOT="&amp;$B$3&amp;I35&amp;" bfcl evaluate --model "&amp;$B$2&amp;C35&amp;IF(D35=1,"-FC","")&amp;" --test-category="&amp;J35</f>
        <v>env OPENAI_API_KEY=sk-none BFCL_PROJECT_ROOT=/home/p/Code/local/burrito-evals/data/bfcl_v4/llamacpp@fixedjinja_chat_medium_t-0_b-1_f-0_s-69421337 bfcl evaluate --model gpt-oss-20b-chat --test-category=irrelevance,live_relevance,simple_javascript</v>
      </c>
      <c r="M35" s="1" t="s">
        <v>31</v>
      </c>
    </row>
    <row r="36" customFormat="false" ht="12.8" hidden="false" customHeight="false" outlineLevel="0" collapsed="false">
      <c r="A36" s="15" t="s">
        <v>38</v>
      </c>
      <c r="B36" s="1" t="str">
        <f aca="false">B$4</f>
        <v>http://localhost:9999/v1</v>
      </c>
      <c r="C36" s="1" t="s">
        <v>32</v>
      </c>
      <c r="D36" s="2" t="n">
        <v>0</v>
      </c>
      <c r="E36" s="2" t="s">
        <v>29</v>
      </c>
      <c r="F36" s="13" t="n">
        <v>0</v>
      </c>
      <c r="G36" s="2" t="n">
        <v>1</v>
      </c>
      <c r="H36" s="1" t="n">
        <v>69421337</v>
      </c>
      <c r="I36" s="1" t="str">
        <f aca="false">A36&amp;"_"&amp;C36&amp;"_"&amp;E36&amp;"_t-"&amp;F36&amp;"_b-"&amp;G36&amp;"_f-"&amp;D36&amp;"_s-"&amp;H36</f>
        <v>llamacpp@fixedjinja_responses_medium_t-0_b-1_f-0_s-69421337</v>
      </c>
      <c r="J36" s="1" t="s">
        <v>30</v>
      </c>
      <c r="K36" s="1" t="str">
        <f aca="false">"env OPENAI_API_KEY=sk-none OPENAI_BASE_URL="&amp;B36&amp;" BFCL_PROJECT_ROOT="&amp;$B$3&amp;I36&amp;" bfcl generate --model "&amp;$B$2&amp;C36&amp;IF(D36=1,"-FC","")&amp;" --test-category="&amp;J36&amp;" --temperature="&amp;TEXT(F36,"0.0000")&amp;" --num-threads="&amp;G36</f>
        <v>env OPENAI_API_KEY=sk-none OPENAI_BASE_URL=http://localhost:9999/v1 BFCL_PROJECT_ROOT=/home/p/Code/local/burrito-evals/data/bfcl_v4/llamacpp@fixedjinja_responses_medium_t-0_b-1_f-0_s-69421337 bfcl generate --model gpt-oss-20b-responses --test-category=irrelevance,live_relevance,simple_javascript --temperature=0.0000 --num-threads=1</v>
      </c>
      <c r="L36" s="1" t="str">
        <f aca="false">"env OPENAI_API_KEY=sk-none BFCL_PROJECT_ROOT="&amp;$B$3&amp;I36&amp;" bfcl evaluate --model "&amp;$B$2&amp;C36&amp;IF(D36=1,"-FC","")&amp;" --test-category="&amp;J36</f>
        <v>env OPENAI_API_KEY=sk-none BFCL_PROJECT_ROOT=/home/p/Code/local/burrito-evals/data/bfcl_v4/llamacpp@fixedjinja_responses_medium_t-0_b-1_f-0_s-69421337 bfcl evaluate --model gpt-oss-20b-responses --test-category=irrelevance,live_relevance,simple_javascript</v>
      </c>
      <c r="M36" s="1" t="s">
        <v>31</v>
      </c>
    </row>
    <row r="37" customFormat="false" ht="12.8" hidden="false" customHeight="false" outlineLevel="0" collapsed="false">
      <c r="K37" s="12" t="str">
        <f aca="false">K35&amp;" &amp;&amp; "&amp;K36</f>
        <v>env OPENAI_API_KEY=sk-none OPENAI_BASE_URL=http://localhost:9999/v1 BFCL_PROJECT_ROOT=/home/p/Code/local/burrito-evals/data/bfcl_v4/llamacpp@fixedjinja_chat_medium_t-0_b-1_f-0_s-69421337 bfcl generate --model gpt-oss-20b-chat --test-category=irrelevance,live_relevance,simple_javascript --temperature=0.0000 --num-threads=1 &amp;&amp; env OPENAI_API_KEY=sk-none OPENAI_BASE_URL=http://localhost:9999/v1 BFCL_PROJECT_ROOT=/home/p/Code/local/burrito-evals/data/bfcl_v4/llamacpp@fixedjinja_responses_medium_t-0_b-1_f-0_s-69421337 bfcl generate --model gpt-oss-20b-responses --test-category=irrelevance,live_relevance,simple_javascript --temperature=0.0000 --num-threads=1</v>
      </c>
    </row>
    <row r="38" customFormat="false" ht="12.8" hidden="false" customHeight="false" outlineLevel="0" collapsed="false">
      <c r="A38" s="11" t="s">
        <v>26</v>
      </c>
      <c r="F38" s="13"/>
      <c r="K38" s="12"/>
      <c r="L38" s="12"/>
    </row>
    <row r="39" customFormat="false" ht="12.8" hidden="false" customHeight="false" outlineLevel="0" collapsed="false">
      <c r="A39" s="15" t="s">
        <v>39</v>
      </c>
      <c r="B39" s="1" t="str">
        <f aca="false">B$5</f>
        <v>http://localhost:9999/v1</v>
      </c>
      <c r="C39" s="1" t="s">
        <v>28</v>
      </c>
      <c r="D39" s="2" t="n">
        <v>0</v>
      </c>
      <c r="E39" s="2" t="s">
        <v>29</v>
      </c>
      <c r="F39" s="13" t="n">
        <v>0</v>
      </c>
      <c r="G39" s="2" t="n">
        <v>1</v>
      </c>
      <c r="H39" s="1" t="n">
        <v>69421337</v>
      </c>
      <c r="I39" s="1" t="str">
        <f aca="false">A39&amp;"_"&amp;C39&amp;"_"&amp;E39&amp;"_t-"&amp;F39&amp;"_b-"&amp;G39&amp;"_f-"&amp;D39&amp;"_s-"&amp;H39</f>
        <v>vllm@fixedjinja_chat_medium_t-0_b-1_f-0_s-69421337</v>
      </c>
      <c r="J39" s="1" t="s">
        <v>30</v>
      </c>
      <c r="K39" s="1" t="str">
        <f aca="false">"env OPENAI_API_KEY=sk-none OPENAI_BASE_URL="&amp;B39&amp;" BFCL_PROJECT_ROOT="&amp;$B$3&amp;I39&amp;" bfcl generate --model "&amp;$B$2&amp;C39&amp;IF(D39=1,"-FC","")&amp;" --test-category="&amp;J39&amp;" --temperature="&amp;TEXT(F39,"0.0000")&amp;" --num-threads="&amp;G39</f>
        <v>env OPENAI_API_KEY=sk-none OPENAI_BASE_URL=http://localhost:9999/v1 BFCL_PROJECT_ROOT=/home/p/Code/local/burrito-evals/data/bfcl_v4/vllm@fixedjinja_chat_medium_t-0_b-1_f-0_s-69421337 bfcl generate --model gpt-oss-20b-chat --test-category=irrelevance,live_relevance,simple_javascript --temperature=0.0000 --num-threads=1</v>
      </c>
      <c r="L39" s="1" t="str">
        <f aca="false">"env OPENAI_API_KEY=sk-none BFCL_PROJECT_ROOT="&amp;$B$3&amp;I39&amp;" bfcl evaluate --model "&amp;$B$2&amp;C39&amp;IF(D39=1,"-FC","")&amp;" --test-category="&amp;J39</f>
        <v>env OPENAI_API_KEY=sk-none BFCL_PROJECT_ROOT=/home/p/Code/local/burrito-evals/data/bfcl_v4/vllm@fixedjinja_chat_medium_t-0_b-1_f-0_s-69421337 bfcl evaluate --model gpt-oss-20b-chat --test-category=irrelevance,live_relevance,simple_javascript</v>
      </c>
      <c r="M39" s="1" t="s">
        <v>36</v>
      </c>
    </row>
    <row r="40" customFormat="false" ht="12.8" hidden="false" customHeight="false" outlineLevel="0" collapsed="false">
      <c r="A40" s="15" t="s">
        <v>39</v>
      </c>
      <c r="B40" s="1" t="str">
        <f aca="false">B$5</f>
        <v>http://localhost:9999/v1</v>
      </c>
      <c r="C40" s="1" t="s">
        <v>32</v>
      </c>
      <c r="D40" s="2" t="n">
        <v>0</v>
      </c>
      <c r="E40" s="2" t="s">
        <v>29</v>
      </c>
      <c r="F40" s="13" t="n">
        <v>0</v>
      </c>
      <c r="G40" s="2" t="n">
        <v>1</v>
      </c>
      <c r="H40" s="1" t="n">
        <v>69421337</v>
      </c>
      <c r="I40" s="1" t="str">
        <f aca="false">A40&amp;"_"&amp;C40&amp;"_"&amp;E40&amp;"_t-"&amp;F40&amp;"_b-"&amp;G40&amp;"_f-"&amp;D40&amp;"_s-"&amp;H40</f>
        <v>vllm@fixedjinja_responses_medium_t-0_b-1_f-0_s-69421337</v>
      </c>
      <c r="J40" s="1" t="s">
        <v>30</v>
      </c>
      <c r="K40" s="1" t="str">
        <f aca="false">"env OPENAI_API_KEY=sk-none OPENAI_BASE_URL="&amp;B40&amp;" BFCL_PROJECT_ROOT="&amp;$B$3&amp;I40&amp;" bfcl generate --model "&amp;$B$2&amp;C40&amp;IF(D40=1,"-FC","")&amp;" --test-category="&amp;J40&amp;" --temperature="&amp;TEXT(F40,"0.0000")&amp;" --num-threads="&amp;G40</f>
        <v>env OPENAI_API_KEY=sk-none OPENAI_BASE_URL=http://localhost:9999/v1 BFCL_PROJECT_ROOT=/home/p/Code/local/burrito-evals/data/bfcl_v4/vllm@fixedjinja_responses_medium_t-0_b-1_f-0_s-69421337 bfcl generate --model gpt-oss-20b-responses --test-category=irrelevance,live_relevance,simple_javascript --temperature=0.0000 --num-threads=1</v>
      </c>
      <c r="L40" s="1" t="str">
        <f aca="false">"env OPENAI_API_KEY=sk-none BFCL_PROJECT_ROOT="&amp;$B$3&amp;I40&amp;" bfcl evaluate --model "&amp;$B$2&amp;C40&amp;IF(D40=1,"-FC","")&amp;" --test-category="&amp;J40</f>
        <v>env OPENAI_API_KEY=sk-none BFCL_PROJECT_ROOT=/home/p/Code/local/burrito-evals/data/bfcl_v4/vllm@fixedjinja_responses_medium_t-0_b-1_f-0_s-69421337 bfcl evaluate --model gpt-oss-20b-responses --test-category=irrelevance,live_relevance,simple_javascript</v>
      </c>
      <c r="M40" s="1" t="s">
        <v>36</v>
      </c>
    </row>
    <row r="41" customFormat="false" ht="12.8" hidden="false" customHeight="false" outlineLevel="0" collapsed="false">
      <c r="K41" s="12" t="str">
        <f aca="false">K39&amp;" &amp;&amp; "&amp;K40</f>
        <v>env OPENAI_API_KEY=sk-none OPENAI_BASE_URL=http://localhost:9999/v1 BFCL_PROJECT_ROOT=/home/p/Code/local/burrito-evals/data/bfcl_v4/vllm@fixedjinja_chat_medium_t-0_b-1_f-0_s-69421337 bfcl generate --model gpt-oss-20b-chat --test-category=irrelevance,live_relevance,simple_javascript --temperature=0.0000 --num-threads=1 &amp;&amp; env OPENAI_API_KEY=sk-none OPENAI_BASE_URL=http://localhost:9999/v1 BFCL_PROJECT_ROOT=/home/p/Code/local/burrito-evals/data/bfcl_v4/vllm@fixedjinja_responses_medium_t-0_b-1_f-0_s-69421337 bfcl generate --model gpt-oss-20b-responses --test-category=irrelevance,live_relevance,simple_javascript --temperature=0.0000 --num-threads=1</v>
      </c>
    </row>
    <row r="43" s="5" customFormat="true" ht="12.8" hidden="false" customHeight="false" outlineLevel="0" collapsed="false">
      <c r="A43" s="5" t="s">
        <v>11</v>
      </c>
      <c r="B43" s="5" t="s">
        <v>12</v>
      </c>
      <c r="C43" s="5" t="s">
        <v>13</v>
      </c>
      <c r="D43" s="5" t="s">
        <v>14</v>
      </c>
      <c r="E43" s="5" t="s">
        <v>15</v>
      </c>
      <c r="F43" s="6" t="s">
        <v>16</v>
      </c>
      <c r="G43" s="5" t="s">
        <v>17</v>
      </c>
      <c r="H43" s="5" t="s">
        <v>18</v>
      </c>
      <c r="I43" s="5" t="s">
        <v>19</v>
      </c>
      <c r="J43" s="5" t="s">
        <v>20</v>
      </c>
      <c r="K43" s="5" t="s">
        <v>21</v>
      </c>
      <c r="L43" s="5" t="s">
        <v>22</v>
      </c>
      <c r="M43" s="5" t="s">
        <v>23</v>
      </c>
      <c r="N43" s="7"/>
      <c r="O43" s="7"/>
      <c r="P43" s="7"/>
      <c r="XFD43" s="0"/>
    </row>
    <row r="45" customFormat="false" ht="12.8" hidden="false" customHeight="false" outlineLevel="0" collapsed="false">
      <c r="A45" s="9" t="s">
        <v>40</v>
      </c>
      <c r="B45" s="10" t="s">
        <v>41</v>
      </c>
    </row>
    <row r="47" customFormat="false" ht="12.8" hidden="false" customHeight="false" outlineLevel="0" collapsed="false">
      <c r="A47" s="11" t="s">
        <v>27</v>
      </c>
      <c r="F47" s="13"/>
      <c r="K47" s="12"/>
      <c r="L47" s="12"/>
      <c r="M47" s="1" t="s">
        <v>31</v>
      </c>
    </row>
    <row r="48" customFormat="false" ht="12.8" hidden="false" customHeight="false" outlineLevel="0" collapsed="false">
      <c r="A48" s="1" t="s">
        <v>27</v>
      </c>
      <c r="B48" s="1" t="str">
        <f aca="false">B$4</f>
        <v>http://localhost:9999/v1</v>
      </c>
      <c r="C48" s="1" t="s">
        <v>28</v>
      </c>
      <c r="D48" s="2" t="n">
        <v>1</v>
      </c>
      <c r="E48" s="2" t="s">
        <v>29</v>
      </c>
      <c r="F48" s="13" t="n">
        <v>1</v>
      </c>
      <c r="G48" s="16" t="n">
        <v>1</v>
      </c>
      <c r="H48" s="1" t="n">
        <v>24601</v>
      </c>
      <c r="I48" s="1" t="str">
        <f aca="false">A48&amp;"_"&amp;C48&amp;"_"&amp;E48&amp;"_t-"&amp;F48&amp;"_b-"&amp;G48&amp;"_f-"&amp;D48&amp;"_s-"&amp;H48</f>
        <v>llamacpp_chat_medium_t-1_b-1_f-1_s-24601</v>
      </c>
      <c r="J48" s="1" t="s">
        <v>42</v>
      </c>
      <c r="K48" s="1" t="str">
        <f aca="false">"env OPENAI_API_KEY=sk-none OPENAI_BASE_URL="&amp;B48&amp;" BFCL_PROJECT_ROOT="&amp;$B$3&amp;I48&amp;" bfcl generate --model "&amp;$B$2&amp;C48&amp;IF(D48=1,"-FC","")&amp;" --test-category="&amp;J48&amp;" --temperature="&amp;TEXT(F48,"0.0000")&amp;" --num-threads="&amp;G48</f>
        <v>env OPENAI_API_KEY=sk-none OPENAI_BASE_URL=http://localhost:9999/v1 BFCL_PROJECT_ROOT=/home/p/Code/local/burrito-evals/data/bfcl_v4/llamacpp_chat_medium_t-1_b-1_f-1_s-24601 bfcl generate --model gpt-oss-20b-chat-FC --test-category=irrelevance,live_relevance,live_simple,multi_turn_base,simple_java,simple_javascript,simple_python --temperature=1.0000 --num-threads=1</v>
      </c>
      <c r="L48" s="1" t="str">
        <f aca="false">"env OPENAI_API_KEY=sk-none BFCL_PROJECT_ROOT="&amp;$B$3&amp;I48&amp;" bfcl evaluate --model "&amp;$B$2&amp;C48&amp;IF(D48=1,"-FC","")&amp;" --test-category="&amp;J48</f>
        <v>env OPENAI_API_KEY=sk-none BFCL_PROJECT_ROOT=/home/p/Code/local/burrito-evals/data/bfcl_v4/llamacpp_chat_medium_t-1_b-1_f-1_s-24601 bfcl evaluate --model gpt-oss-20b-chat-FC --test-category=irrelevance,live_relevance,live_simple,multi_turn_base,simple_java,simple_javascript,simple_python</v>
      </c>
      <c r="M48" s="1" t="s">
        <v>31</v>
      </c>
    </row>
    <row r="49" customFormat="false" ht="12.8" hidden="false" customHeight="false" outlineLevel="0" collapsed="false">
      <c r="A49" s="1" t="s">
        <v>27</v>
      </c>
      <c r="B49" s="1" t="str">
        <f aca="false">B$4</f>
        <v>http://localhost:9999/v1</v>
      </c>
      <c r="C49" s="1" t="s">
        <v>32</v>
      </c>
      <c r="D49" s="2" t="n">
        <v>1</v>
      </c>
      <c r="E49" s="2" t="s">
        <v>29</v>
      </c>
      <c r="F49" s="13" t="n">
        <v>1</v>
      </c>
      <c r="G49" s="16" t="n">
        <v>1</v>
      </c>
      <c r="H49" s="1" t="n">
        <f aca="false">H48</f>
        <v>24601</v>
      </c>
      <c r="I49" s="1" t="str">
        <f aca="false">A49&amp;"_"&amp;C49&amp;"_"&amp;E49&amp;"_t-"&amp;F49&amp;"_b-"&amp;G49&amp;"_f-"&amp;D49&amp;"_s-"&amp;H49</f>
        <v>llamacpp_responses_medium_t-1_b-1_f-1_s-24601</v>
      </c>
      <c r="J49" s="1" t="s">
        <v>42</v>
      </c>
      <c r="K49" s="1" t="str">
        <f aca="false">"env OPENAI_API_KEY=sk-none OPENAI_BASE_URL="&amp;B49&amp;" BFCL_PROJECT_ROOT="&amp;$B$3&amp;I49&amp;" bfcl generate --model "&amp;$B$2&amp;C49&amp;IF(D49=1,"-FC","")&amp;" --test-category="&amp;J49&amp;" --temperature="&amp;TEXT(F49,"0.0000")&amp;" --num-threads="&amp;G49</f>
        <v>env OPENAI_API_KEY=sk-none OPENAI_BASE_URL=http://localhost:9999/v1 BFCL_PROJECT_ROOT=/home/p/Code/local/burrito-evals/data/bfcl_v4/llamacpp_responses_medium_t-1_b-1_f-1_s-24601 bfcl generate --model gpt-oss-20b-responses-FC --test-category=irrelevance,live_relevance,live_simple,multi_turn_base,simple_java,simple_javascript,simple_python --temperature=1.0000 --num-threads=1</v>
      </c>
      <c r="L49" s="1" t="str">
        <f aca="false">"env OPENAI_API_KEY=sk-none BFCL_PROJECT_ROOT="&amp;$B$3&amp;I49&amp;" bfcl evaluate --model "&amp;$B$2&amp;C49&amp;IF(D49=1,"-FC","")&amp;" --test-category="&amp;J49</f>
        <v>env OPENAI_API_KEY=sk-none BFCL_PROJECT_ROOT=/home/p/Code/local/burrito-evals/data/bfcl_v4/llamacpp_responses_medium_t-1_b-1_f-1_s-24601 bfcl evaluate --model gpt-oss-20b-responses-FC --test-category=irrelevance,live_relevance,live_simple,multi_turn_base,simple_java,simple_javascript,simple_python</v>
      </c>
      <c r="M49" s="1" t="s">
        <v>31</v>
      </c>
    </row>
    <row r="50" customFormat="false" ht="12.8" hidden="false" customHeight="false" outlineLevel="0" collapsed="false">
      <c r="A50" s="1" t="s">
        <v>33</v>
      </c>
      <c r="B50" s="1" t="str">
        <f aca="false">B$6</f>
        <v>http://localhost:8888/v1</v>
      </c>
      <c r="C50" s="1" t="s">
        <v>28</v>
      </c>
      <c r="D50" s="2" t="n">
        <v>1</v>
      </c>
      <c r="E50" s="2" t="s">
        <v>29</v>
      </c>
      <c r="F50" s="13" t="n">
        <v>1</v>
      </c>
      <c r="G50" s="16" t="n">
        <v>1</v>
      </c>
      <c r="H50" s="1" t="n">
        <f aca="false">H49</f>
        <v>24601</v>
      </c>
      <c r="I50" s="1" t="str">
        <f aca="false">A50&amp;"_"&amp;C50&amp;"_"&amp;E50&amp;"_t-"&amp;F50&amp;"_b-"&amp;G50&amp;"_f-"&amp;D50&amp;"_s-"&amp;H50</f>
        <v>burrito@llamacpp_chat_medium_t-1_b-1_f-1_s-24601</v>
      </c>
      <c r="J50" s="1" t="s">
        <v>42</v>
      </c>
      <c r="K50" s="1" t="str">
        <f aca="false">"env OPENAI_API_KEY=sk-none OPENAI_BASE_URL="&amp;B50&amp;" BFCL_PROJECT_ROOT="&amp;$B$3&amp;I50&amp;" bfcl generate --model "&amp;$B$2&amp;C50&amp;IF(D50=1,"-FC","")&amp;" --test-category="&amp;J50&amp;" --temperature="&amp;TEXT(F50,"0.0000")&amp;" --num-threads="&amp;G50</f>
        <v>env OPENAI_API_KEY=sk-none OPENAI_BASE_URL=http://localhost:8888/v1 BFCL_PROJECT_ROOT=/home/p/Code/local/burrito-evals/data/bfcl_v4/burrito@llamacpp_chat_medium_t-1_b-1_f-1_s-24601 bfcl generate --model gpt-oss-20b-chat-FC --test-category=irrelevance,live_relevance,live_simple,multi_turn_base,simple_java,simple_javascript,simple_python --temperature=1.0000 --num-threads=1</v>
      </c>
      <c r="L50" s="1" t="str">
        <f aca="false">"env OPENAI_API_KEY=sk-none BFCL_PROJECT_ROOT="&amp;$B$3&amp;I50&amp;" bfcl evaluate --model "&amp;$B$2&amp;C50&amp;IF(D50=1,"-FC","")&amp;" --test-category="&amp;J50</f>
        <v>env OPENAI_API_KEY=sk-none BFCL_PROJECT_ROOT=/home/p/Code/local/burrito-evals/data/bfcl_v4/burrito@llamacpp_chat_medium_t-1_b-1_f-1_s-24601 bfcl evaluate --model gpt-oss-20b-chat-FC --test-category=irrelevance,live_relevance,live_simple,multi_turn_base,simple_java,simple_javascript,simple_python</v>
      </c>
      <c r="M50" s="1" t="s">
        <v>31</v>
      </c>
    </row>
    <row r="51" customFormat="false" ht="12.8" hidden="false" customHeight="false" outlineLevel="0" collapsed="false">
      <c r="A51" s="1" t="s">
        <v>33</v>
      </c>
      <c r="B51" s="1" t="str">
        <f aca="false">B$6</f>
        <v>http://localhost:8888/v1</v>
      </c>
      <c r="C51" s="1" t="s">
        <v>32</v>
      </c>
      <c r="D51" s="2" t="n">
        <v>1</v>
      </c>
      <c r="E51" s="2" t="s">
        <v>29</v>
      </c>
      <c r="F51" s="13" t="n">
        <v>1</v>
      </c>
      <c r="G51" s="16" t="n">
        <v>1</v>
      </c>
      <c r="H51" s="1" t="n">
        <f aca="false">H50</f>
        <v>24601</v>
      </c>
      <c r="I51" s="1" t="str">
        <f aca="false">A51&amp;"_"&amp;C51&amp;"_"&amp;E51&amp;"_t-"&amp;F51&amp;"_b-"&amp;G51&amp;"_f-"&amp;D51&amp;"_s-"&amp;H51</f>
        <v>burrito@llamacpp_responses_medium_t-1_b-1_f-1_s-24601</v>
      </c>
      <c r="J51" s="1" t="s">
        <v>42</v>
      </c>
      <c r="K51" s="1" t="str">
        <f aca="false">"env OPENAI_API_KEY=sk-none OPENAI_BASE_URL="&amp;B51&amp;" BFCL_PROJECT_ROOT="&amp;$B$3&amp;I51&amp;" bfcl generate --model "&amp;$B$2&amp;C51&amp;IF(D51=1,"-FC","")&amp;" --test-category="&amp;J51&amp;" --temperature="&amp;TEXT(F51,"0.0000")&amp;" --num-threads="&amp;G51</f>
        <v>env OPENAI_API_KEY=sk-none OPENAI_BASE_URL=http://localhost:8888/v1 BFCL_PROJECT_ROOT=/home/p/Code/local/burrito-evals/data/bfcl_v4/burrito@llamacpp_responses_medium_t-1_b-1_f-1_s-24601 bfcl generate --model gpt-oss-20b-responses-FC --test-category=irrelevance,live_relevance,live_simple,multi_turn_base,simple_java,simple_javascript,simple_python --temperature=1.0000 --num-threads=1</v>
      </c>
      <c r="L51" s="1" t="str">
        <f aca="false">"env OPENAI_API_KEY=sk-none BFCL_PROJECT_ROOT="&amp;$B$3&amp;I51&amp;" bfcl evaluate --model "&amp;$B$2&amp;C51&amp;IF(D51=1,"-FC","")&amp;" --test-category="&amp;J51</f>
        <v>env OPENAI_API_KEY=sk-none BFCL_PROJECT_ROOT=/home/p/Code/local/burrito-evals/data/bfcl_v4/burrito@llamacpp_responses_medium_t-1_b-1_f-1_s-24601 bfcl evaluate --model gpt-oss-20b-responses-FC --test-category=irrelevance,live_relevance,live_simple,multi_turn_base,simple_java,simple_javascript,simple_python</v>
      </c>
      <c r="M51" s="1" t="s">
        <v>31</v>
      </c>
    </row>
    <row r="52" customFormat="false" ht="12.8" hidden="false" customHeight="false" outlineLevel="0" collapsed="false">
      <c r="F52" s="13"/>
      <c r="G52" s="2" t="s">
        <v>43</v>
      </c>
      <c r="K52" s="12" t="str">
        <f aca="false">K48&amp;" &amp;&amp; "&amp;K49&amp;" &amp;&amp; "&amp;K50&amp;" &amp;&amp; "&amp;K51</f>
        <v>env OPENAI_API_KEY=sk-none OPENAI_BASE_URL=http://localhost:9999/v1 BFCL_PROJECT_ROOT=/home/p/Code/local/burrito-evals/data/bfcl_v4/llamacpp_chat_medium_t-1_b-1_f-1_s-24601 bfcl generate --model gpt-oss-20b-chat-FC --test-category=irrelevance,live_relevance,live_simple,multi_turn_base,simple_java,simple_javascript,simple_python --temperature=1.0000 --num-threads=1 &amp;&amp; env OPENAI_API_KEY=sk-none OPENAI_BASE_URL=http://localhost:9999/v1 BFCL_PROJECT_ROOT=/home/p/Code/local/burrito-evals/data/bfcl_v4/llamacpp_responses_medium_t-1_b-1_f-1_s-24601 bfcl generate --model gpt-oss-20b-responses-FC --test-category=irrelevance,live_relevance,live_simple,multi_turn_base,simple_java,simple_javascript,simple_python --temperature=1.0000 --num-threads=1 &amp;&amp; env OPENAI_API_KEY=sk-none OPENAI_BASE_URL=http://localhost:8888/v1 BFCL_PROJECT_ROOT=/home/p/Code/local/burrito-evals/data/bfcl_v4/burrito@llamacpp_chat_medium_t-1_b-1_f-1_s-24601 bfcl generate --model gpt-oss-20b-chat-FC --test-category=irrelevance,live_relevance,live_simple,multi_turn_base,simple_java,simple_javascript,simple_python --temperature=1.0000 --num-threads=1 &amp;&amp; env OPENAI_API_KEY=sk-none OPENAI_BASE_URL=http://localhost:8888/v1 BFCL_PROJECT_ROOT=/home/p/Code/local/burrito-evals/data/bfcl_v4/burrito@llamacpp_responses_medium_t-1_b-1_f-1_s-24601 bfcl generate --model gpt-oss-20b-responses-FC --test-category=irrelevance,live_relevance,live_simple,multi_turn_base,simple_java,simple_javascript,simple_python --temperature=1.0000 --num-threads=1</v>
      </c>
      <c r="L52" s="12" t="str">
        <f aca="false">L48&amp;" &amp;&amp; "&amp;L49&amp;" &amp;&amp; "&amp;L50&amp;" &amp;&amp; "&amp;L51</f>
        <v>env OPENAI_API_KEY=sk-none BFCL_PROJECT_ROOT=/home/p/Code/local/burrito-evals/data/bfcl_v4/llamacpp_chat_medium_t-1_b-1_f-1_s-24601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BFCL_PROJECT_ROOT=/home/p/Code/local/burrito-evals/data/bfcl_v4/llamacpp_responses_medium_t-1_b-1_f-1_s-24601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BFCL_PROJECT_ROOT=/home/p/Code/local/burrito-evals/data/bfcl_v4/burrito@llamacpp_chat_medium_t-1_b-1_f-1_s-24601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BFCL_PROJECT_ROOT=/home/p/Code/local/burrito-evals/data/bfcl_v4/burrito@llamacpp_responses_medium_t-1_b-1_f-1_s-24601 bfcl evaluate --model gpt-oss-20b-responses-FC --test-category=irrelevance,live_relevance,live_simple,multi_turn_base,simple_java,simple_javascript,simple_python</v>
      </c>
      <c r="M52" s="1" t="s">
        <v>31</v>
      </c>
    </row>
    <row r="53" customFormat="false" ht="12.8" hidden="false" customHeight="false" outlineLevel="0" collapsed="false">
      <c r="A53" s="11" t="s">
        <v>27</v>
      </c>
      <c r="F53" s="13"/>
      <c r="K53" s="12"/>
      <c r="L53" s="12"/>
      <c r="M53" s="1" t="s">
        <v>31</v>
      </c>
    </row>
    <row r="54" customFormat="false" ht="12.8" hidden="false" customHeight="false" outlineLevel="0" collapsed="false">
      <c r="A54" s="1" t="s">
        <v>27</v>
      </c>
      <c r="B54" s="1" t="str">
        <f aca="false">B$4</f>
        <v>http://localhost:9999/v1</v>
      </c>
      <c r="C54" s="1" t="s">
        <v>28</v>
      </c>
      <c r="D54" s="2" t="n">
        <v>1</v>
      </c>
      <c r="E54" s="2" t="s">
        <v>29</v>
      </c>
      <c r="F54" s="13" t="n">
        <v>1</v>
      </c>
      <c r="G54" s="2" t="n">
        <v>1</v>
      </c>
      <c r="H54" s="1" t="n">
        <v>819437</v>
      </c>
      <c r="I54" s="1" t="str">
        <f aca="false">A54&amp;"_"&amp;C54&amp;"_"&amp;E54&amp;"_t-"&amp;F54&amp;"_b-"&amp;G54&amp;"_f-"&amp;D54&amp;"_s-"&amp;H54</f>
        <v>llamacpp_chat_medium_t-1_b-1_f-1_s-819437</v>
      </c>
      <c r="J54" s="1" t="s">
        <v>42</v>
      </c>
      <c r="K54" s="1" t="str">
        <f aca="false">"env OPENAI_API_KEY=sk-none OPENAI_BASE_URL="&amp;B54&amp;" BFCL_PROJECT_ROOT="&amp;$B$3&amp;I54&amp;" bfcl generate --model "&amp;$B$2&amp;C54&amp;IF(D54=1,"-FC","")&amp;" --test-category="&amp;J54&amp;" --temperature="&amp;TEXT(F54,"0.0000")&amp;" --num-threads="&amp;G54</f>
        <v>env OPENAI_API_KEY=sk-none OPENAI_BASE_URL=http://localhost:9999/v1 BFCL_PROJECT_ROOT=/home/p/Code/local/burrito-evals/data/bfcl_v4/llamacpp_chat_medium_t-1_b-1_f-1_s-819437 bfcl generate --model gpt-oss-20b-chat-FC --test-category=irrelevance,live_relevance,live_simple,multi_turn_base,simple_java,simple_javascript,simple_python --temperature=1.0000 --num-threads=1</v>
      </c>
      <c r="L54" s="1" t="str">
        <f aca="false">"env OPENAI_API_KEY=sk-none BFCL_PROJECT_ROOT="&amp;$B$3&amp;I54&amp;" bfcl evaluate --model "&amp;$B$2&amp;C54&amp;IF(D54=1,"-FC","")&amp;" --test-category="&amp;J54</f>
        <v>env OPENAI_API_KEY=sk-none BFCL_PROJECT_ROOT=/home/p/Code/local/burrito-evals/data/bfcl_v4/llamacpp_chat_medium_t-1_b-1_f-1_s-819437 bfcl evaluate --model gpt-oss-20b-chat-FC --test-category=irrelevance,live_relevance,live_simple,multi_turn_base,simple_java,simple_javascript,simple_python</v>
      </c>
      <c r="M54" s="1" t="s">
        <v>31</v>
      </c>
    </row>
    <row r="55" customFormat="false" ht="12.8" hidden="false" customHeight="false" outlineLevel="0" collapsed="false">
      <c r="A55" s="1" t="s">
        <v>27</v>
      </c>
      <c r="B55" s="1" t="str">
        <f aca="false">B$4</f>
        <v>http://localhost:9999/v1</v>
      </c>
      <c r="C55" s="1" t="s">
        <v>32</v>
      </c>
      <c r="D55" s="2" t="n">
        <v>1</v>
      </c>
      <c r="E55" s="2" t="s">
        <v>29</v>
      </c>
      <c r="F55" s="13" t="n">
        <v>1</v>
      </c>
      <c r="G55" s="2" t="n">
        <v>1</v>
      </c>
      <c r="H55" s="1" t="n">
        <f aca="false">H54</f>
        <v>819437</v>
      </c>
      <c r="I55" s="1" t="str">
        <f aca="false">A55&amp;"_"&amp;C55&amp;"_"&amp;E55&amp;"_t-"&amp;F55&amp;"_b-"&amp;G55&amp;"_f-"&amp;D55&amp;"_s-"&amp;H55</f>
        <v>llamacpp_responses_medium_t-1_b-1_f-1_s-819437</v>
      </c>
      <c r="J55" s="1" t="s">
        <v>42</v>
      </c>
      <c r="K55" s="1" t="str">
        <f aca="false">"env OPENAI_API_KEY=sk-none OPENAI_BASE_URL="&amp;B55&amp;" BFCL_PROJECT_ROOT="&amp;$B$3&amp;I55&amp;" bfcl generate --model "&amp;$B$2&amp;C55&amp;IF(D55=1,"-FC","")&amp;" --test-category="&amp;J55&amp;" --temperature="&amp;TEXT(F55,"0.0000")&amp;" --num-threads="&amp;G55</f>
        <v>env OPENAI_API_KEY=sk-none OPENAI_BASE_URL=http://localhost:9999/v1 BFCL_PROJECT_ROOT=/home/p/Code/local/burrito-evals/data/bfcl_v4/llamacpp_responses_medium_t-1_b-1_f-1_s-819437 bfcl generate --model gpt-oss-20b-responses-FC --test-category=irrelevance,live_relevance,live_simple,multi_turn_base,simple_java,simple_javascript,simple_python --temperature=1.0000 --num-threads=1</v>
      </c>
      <c r="L55" s="1" t="str">
        <f aca="false">"env OPENAI_API_KEY=sk-none BFCL_PROJECT_ROOT="&amp;$B$3&amp;I55&amp;" bfcl evaluate --model "&amp;$B$2&amp;C55&amp;IF(D55=1,"-FC","")&amp;" --test-category="&amp;J55</f>
        <v>env OPENAI_API_KEY=sk-none BFCL_PROJECT_ROOT=/home/p/Code/local/burrito-evals/data/bfcl_v4/llamacpp_responses_medium_t-1_b-1_f-1_s-819437 bfcl evaluate --model gpt-oss-20b-responses-FC --test-category=irrelevance,live_relevance,live_simple,multi_turn_base,simple_java,simple_javascript,simple_python</v>
      </c>
      <c r="M55" s="1" t="s">
        <v>31</v>
      </c>
    </row>
    <row r="56" customFormat="false" ht="12.8" hidden="false" customHeight="false" outlineLevel="0" collapsed="false">
      <c r="A56" s="1" t="s">
        <v>33</v>
      </c>
      <c r="B56" s="1" t="str">
        <f aca="false">B$6</f>
        <v>http://localhost:8888/v1</v>
      </c>
      <c r="C56" s="1" t="s">
        <v>28</v>
      </c>
      <c r="D56" s="2" t="n">
        <v>1</v>
      </c>
      <c r="E56" s="2" t="s">
        <v>29</v>
      </c>
      <c r="F56" s="13" t="n">
        <v>1</v>
      </c>
      <c r="G56" s="2" t="n">
        <v>1</v>
      </c>
      <c r="H56" s="1" t="n">
        <f aca="false">H55</f>
        <v>819437</v>
      </c>
      <c r="I56" s="1" t="str">
        <f aca="false">A56&amp;"_"&amp;C56&amp;"_"&amp;E56&amp;"_t-"&amp;F56&amp;"_b-"&amp;G56&amp;"_f-"&amp;D56&amp;"_s-"&amp;H56</f>
        <v>burrito@llamacpp_chat_medium_t-1_b-1_f-1_s-819437</v>
      </c>
      <c r="J56" s="1" t="s">
        <v>42</v>
      </c>
      <c r="K56" s="1" t="str">
        <f aca="false">"env OPENAI_API_KEY=sk-none OPENAI_BASE_URL="&amp;B56&amp;" BFCL_PROJECT_ROOT="&amp;$B$3&amp;I56&amp;" bfcl generate --model "&amp;$B$2&amp;C56&amp;IF(D56=1,"-FC","")&amp;" --test-category="&amp;J56&amp;" --temperature="&amp;TEXT(F56,"0.0000")&amp;" --num-threads="&amp;G56</f>
        <v>env OPENAI_API_KEY=sk-none OPENAI_BASE_URL=http://localhost:8888/v1 BFCL_PROJECT_ROOT=/home/p/Code/local/burrito-evals/data/bfcl_v4/burrito@llamacpp_chat_medium_t-1_b-1_f-1_s-819437 bfcl generate --model gpt-oss-20b-chat-FC --test-category=irrelevance,live_relevance,live_simple,multi_turn_base,simple_java,simple_javascript,simple_python --temperature=1.0000 --num-threads=1</v>
      </c>
      <c r="L56" s="1" t="str">
        <f aca="false">"env OPENAI_API_KEY=sk-none BFCL_PROJECT_ROOT="&amp;$B$3&amp;I56&amp;" bfcl evaluate --model "&amp;$B$2&amp;C56&amp;IF(D56=1,"-FC","")&amp;" --test-category="&amp;J56</f>
        <v>env OPENAI_API_KEY=sk-none BFCL_PROJECT_ROOT=/home/p/Code/local/burrito-evals/data/bfcl_v4/burrito@llamacpp_chat_medium_t-1_b-1_f-1_s-819437 bfcl evaluate --model gpt-oss-20b-chat-FC --test-category=irrelevance,live_relevance,live_simple,multi_turn_base,simple_java,simple_javascript,simple_python</v>
      </c>
      <c r="M56" s="1" t="s">
        <v>31</v>
      </c>
    </row>
    <row r="57" customFormat="false" ht="12.8" hidden="false" customHeight="false" outlineLevel="0" collapsed="false">
      <c r="A57" s="1" t="s">
        <v>33</v>
      </c>
      <c r="B57" s="1" t="str">
        <f aca="false">B$6</f>
        <v>http://localhost:8888/v1</v>
      </c>
      <c r="C57" s="1" t="s">
        <v>32</v>
      </c>
      <c r="D57" s="2" t="n">
        <v>1</v>
      </c>
      <c r="E57" s="2" t="s">
        <v>29</v>
      </c>
      <c r="F57" s="13" t="n">
        <v>1</v>
      </c>
      <c r="G57" s="2" t="n">
        <v>1</v>
      </c>
      <c r="H57" s="1" t="n">
        <f aca="false">H56</f>
        <v>819437</v>
      </c>
      <c r="I57" s="1" t="str">
        <f aca="false">A57&amp;"_"&amp;C57&amp;"_"&amp;E57&amp;"_t-"&amp;F57&amp;"_b-"&amp;G57&amp;"_f-"&amp;D57&amp;"_s-"&amp;H57</f>
        <v>burrito@llamacpp_responses_medium_t-1_b-1_f-1_s-819437</v>
      </c>
      <c r="J57" s="1" t="s">
        <v>42</v>
      </c>
      <c r="K57" s="1" t="str">
        <f aca="false">"env OPENAI_API_KEY=sk-none OPENAI_BASE_URL="&amp;B57&amp;" BFCL_PROJECT_ROOT="&amp;$B$3&amp;I57&amp;" bfcl generate --model "&amp;$B$2&amp;C57&amp;IF(D57=1,"-FC","")&amp;" --test-category="&amp;J57&amp;" --temperature="&amp;TEXT(F57,"0.0000")&amp;" --num-threads="&amp;G57</f>
        <v>env OPENAI_API_KEY=sk-none OPENAI_BASE_URL=http://localhost:8888/v1 BFCL_PROJECT_ROOT=/home/p/Code/local/burrito-evals/data/bfcl_v4/burrito@llamacpp_responses_medium_t-1_b-1_f-1_s-819437 bfcl generate --model gpt-oss-20b-responses-FC --test-category=irrelevance,live_relevance,live_simple,multi_turn_base,simple_java,simple_javascript,simple_python --temperature=1.0000 --num-threads=1</v>
      </c>
      <c r="L57" s="1" t="str">
        <f aca="false">"env OPENAI_API_KEY=sk-none BFCL_PROJECT_ROOT="&amp;$B$3&amp;I57&amp;" bfcl evaluate --model "&amp;$B$2&amp;C57&amp;IF(D57=1,"-FC","")&amp;" --test-category="&amp;J57</f>
        <v>env OPENAI_API_KEY=sk-none BFCL_PROJECT_ROOT=/home/p/Code/local/burrito-evals/data/bfcl_v4/burrito@llamacpp_responses_medium_t-1_b-1_f-1_s-819437 bfcl evaluate --model gpt-oss-20b-responses-FC --test-category=irrelevance,live_relevance,live_simple,multi_turn_base,simple_java,simple_javascript,simple_python</v>
      </c>
      <c r="M57" s="1" t="s">
        <v>31</v>
      </c>
    </row>
    <row r="58" customFormat="false" ht="12.8" hidden="false" customHeight="false" outlineLevel="0" collapsed="false">
      <c r="F58" s="13"/>
      <c r="K58" s="12" t="str">
        <f aca="false">K54&amp;" &amp;&amp; "&amp;K55&amp;" &amp;&amp; "&amp;K56&amp;" &amp;&amp; "&amp;K57</f>
        <v>env OPENAI_API_KEY=sk-none OPENAI_BASE_URL=http://localhost:9999/v1 BFCL_PROJECT_ROOT=/home/p/Code/local/burrito-evals/data/bfcl_v4/llamacpp_chat_medium_t-1_b-1_f-1_s-819437 bfcl generate --model gpt-oss-20b-chat-FC --test-category=irrelevance,live_relevance,live_simple,multi_turn_base,simple_java,simple_javascript,simple_python --temperature=1.0000 --num-threads=1 &amp;&amp; env OPENAI_API_KEY=sk-none OPENAI_BASE_URL=http://localhost:9999/v1 BFCL_PROJECT_ROOT=/home/p/Code/local/burrito-evals/data/bfcl_v4/llamacpp_responses_medium_t-1_b-1_f-1_s-819437 bfcl generate --model gpt-oss-20b-responses-FC --test-category=irrelevance,live_relevance,live_simple,multi_turn_base,simple_java,simple_javascript,simple_python --temperature=1.0000 --num-threads=1 &amp;&amp; env OPENAI_API_KEY=sk-none OPENAI_BASE_URL=http://localhost:8888/v1 BFCL_PROJECT_ROOT=/home/p/Code/local/burrito-evals/data/bfcl_v4/burrito@llamacpp_chat_medium_t-1_b-1_f-1_s-819437 bfcl generate --model gpt-oss-20b-chat-FC --test-category=irrelevance,live_relevance,live_simple,multi_turn_base,simple_java,simple_javascript,simple_python --temperature=1.0000 --num-threads=1 &amp;&amp; env OPENAI_API_KEY=sk-none OPENAI_BASE_URL=http://localhost:8888/v1 BFCL_PROJECT_ROOT=/home/p/Code/local/burrito-evals/data/bfcl_v4/burrito@llamacpp_responses_medium_t-1_b-1_f-1_s-819437 bfcl generate --model gpt-oss-20b-responses-FC --test-category=irrelevance,live_relevance,live_simple,multi_turn_base,simple_java,simple_javascript,simple_python --temperature=1.0000 --num-threads=1</v>
      </c>
      <c r="L58" s="12" t="str">
        <f aca="false">L54&amp;" &amp;&amp; "&amp;L55&amp;" &amp;&amp; "&amp;L56&amp;" &amp;&amp; "&amp;L57</f>
        <v>env OPENAI_API_KEY=sk-none BFCL_PROJECT_ROOT=/home/p/Code/local/burrito-evals/data/bfcl_v4/llamacpp_chat_medium_t-1_b-1_f-1_s-819437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BFCL_PROJECT_ROOT=/home/p/Code/local/burrito-evals/data/bfcl_v4/llamacpp_responses_medium_t-1_b-1_f-1_s-819437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BFCL_PROJECT_ROOT=/home/p/Code/local/burrito-evals/data/bfcl_v4/burrito@llamacpp_chat_medium_t-1_b-1_f-1_s-819437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BFCL_PROJECT_ROOT=/home/p/Code/local/burrito-evals/data/bfcl_v4/burrito@llamacpp_responses_medium_t-1_b-1_f-1_s-819437 bfcl evaluate --model gpt-oss-20b-responses-FC --test-category=irrelevance,live_relevance,live_simple,multi_turn_base,simple_java,simple_javascript,simple_python</v>
      </c>
      <c r="M58" s="1" t="s">
        <v>31</v>
      </c>
    </row>
    <row r="59" customFormat="false" ht="12.8" hidden="false" customHeight="false" outlineLevel="0" collapsed="false">
      <c r="A59" s="11" t="s">
        <v>27</v>
      </c>
      <c r="F59" s="13"/>
      <c r="K59" s="12"/>
      <c r="L59" s="12"/>
      <c r="M59" s="1" t="s">
        <v>31</v>
      </c>
    </row>
    <row r="60" customFormat="false" ht="12.8" hidden="false" customHeight="false" outlineLevel="0" collapsed="false">
      <c r="A60" s="1" t="s">
        <v>27</v>
      </c>
      <c r="B60" s="1" t="str">
        <f aca="false">B$4</f>
        <v>http://localhost:9999/v1</v>
      </c>
      <c r="C60" s="1" t="s">
        <v>28</v>
      </c>
      <c r="D60" s="2" t="n">
        <v>1</v>
      </c>
      <c r="E60" s="2" t="s">
        <v>29</v>
      </c>
      <c r="F60" s="13" t="n">
        <v>1</v>
      </c>
      <c r="G60" s="2" t="n">
        <v>4</v>
      </c>
      <c r="H60" s="1" t="n">
        <v>4201337</v>
      </c>
      <c r="I60" s="1" t="str">
        <f aca="false">A60&amp;"_"&amp;C60&amp;"_"&amp;E60&amp;"_t-"&amp;F60&amp;"_b-"&amp;G60&amp;"_f-"&amp;D60&amp;"_s-"&amp;H60</f>
        <v>llamacpp_chat_medium_t-1_b-4_f-1_s-4201337</v>
      </c>
      <c r="J60" s="1" t="s">
        <v>42</v>
      </c>
      <c r="K60" s="1" t="str">
        <f aca="false">"env OPENAI_API_KEY=sk-none OPENAI_BASE_URL="&amp;B60&amp;" BFCL_PROJECT_ROOT="&amp;$B$3&amp;I60&amp;" bfcl generate --model "&amp;$B$2&amp;C60&amp;IF(D60=1,"-FC","")&amp;" --test-category="&amp;J60&amp;" --temperature="&amp;TEXT(F60,"0.0000")&amp;" --num-threads="&amp;G60</f>
        <v>env OPENAI_API_KEY=sk-none OPENAI_BASE_URL=http://localhost:9999/v1 BFCL_PROJECT_ROOT=/home/p/Code/local/burrito-evals/data/bfcl_v4/llamacpp_chat_medium_t-1_b-4_f-1_s-4201337 bfcl generate --model gpt-oss-20b-chat-FC --test-category=irrelevance,live_relevance,live_simple,multi_turn_base,simple_java,simple_javascript,simple_python --temperature=1.0000 --num-threads=4</v>
      </c>
      <c r="L60" s="1" t="str">
        <f aca="false">"env OPENAI_API_KEY=sk-none BFCL_PROJECT_ROOT="&amp;$B$3&amp;I60&amp;" bfcl evaluate --model "&amp;$B$2&amp;C60&amp;IF(D60=1,"-FC","")&amp;" --test-category="&amp;J60</f>
        <v>env OPENAI_API_KEY=sk-none BFCL_PROJECT_ROOT=/home/p/Code/local/burrito-evals/data/bfcl_v4/llamacpp_chat_medium_t-1_b-4_f-1_s-4201337 bfcl evaluate --model gpt-oss-20b-chat-FC --test-category=irrelevance,live_relevance,live_simple,multi_turn_base,simple_java,simple_javascript,simple_python</v>
      </c>
      <c r="M60" s="1" t="s">
        <v>31</v>
      </c>
    </row>
    <row r="61" customFormat="false" ht="12.8" hidden="false" customHeight="false" outlineLevel="0" collapsed="false">
      <c r="A61" s="1" t="s">
        <v>27</v>
      </c>
      <c r="B61" s="1" t="str">
        <f aca="false">B$4</f>
        <v>http://localhost:9999/v1</v>
      </c>
      <c r="C61" s="1" t="s">
        <v>32</v>
      </c>
      <c r="D61" s="2" t="n">
        <v>1</v>
      </c>
      <c r="E61" s="2" t="s">
        <v>29</v>
      </c>
      <c r="F61" s="13" t="n">
        <v>1</v>
      </c>
      <c r="G61" s="2" t="n">
        <v>4</v>
      </c>
      <c r="H61" s="1" t="n">
        <f aca="false">H60</f>
        <v>4201337</v>
      </c>
      <c r="I61" s="1" t="str">
        <f aca="false">A61&amp;"_"&amp;C61&amp;"_"&amp;E61&amp;"_t-"&amp;F61&amp;"_b-"&amp;G61&amp;"_f-"&amp;D61&amp;"_s-"&amp;H61</f>
        <v>llamacpp_responses_medium_t-1_b-4_f-1_s-4201337</v>
      </c>
      <c r="J61" s="1" t="s">
        <v>42</v>
      </c>
      <c r="K61" s="1" t="str">
        <f aca="false">"env OPENAI_API_KEY=sk-none OPENAI_BASE_URL="&amp;B61&amp;" BFCL_PROJECT_ROOT="&amp;$B$3&amp;I61&amp;" bfcl generate --model "&amp;$B$2&amp;C61&amp;IF(D61=1,"-FC","")&amp;" --test-category="&amp;J61&amp;" --temperature="&amp;TEXT(F61,"0.0000")&amp;" --num-threads="&amp;G61</f>
        <v>env OPENAI_API_KEY=sk-none OPENAI_BASE_URL=http://localhost:9999/v1 BFCL_PROJECT_ROOT=/home/p/Code/local/burrito-evals/data/bfcl_v4/llamacpp_responses_medium_t-1_b-4_f-1_s-4201337 bfcl generate --model gpt-oss-20b-responses-FC --test-category=irrelevance,live_relevance,live_simple,multi_turn_base,simple_java,simple_javascript,simple_python --temperature=1.0000 --num-threads=4</v>
      </c>
      <c r="L61" s="1" t="str">
        <f aca="false">"env OPENAI_API_KEY=sk-none BFCL_PROJECT_ROOT="&amp;$B$3&amp;I61&amp;" bfcl evaluate --model "&amp;$B$2&amp;C61&amp;IF(D61=1,"-FC","")&amp;" --test-category="&amp;J61</f>
        <v>env OPENAI_API_KEY=sk-none BFCL_PROJECT_ROOT=/home/p/Code/local/burrito-evals/data/bfcl_v4/llamacpp_responses_medium_t-1_b-4_f-1_s-4201337 bfcl evaluate --model gpt-oss-20b-responses-FC --test-category=irrelevance,live_relevance,live_simple,multi_turn_base,simple_java,simple_javascript,simple_python</v>
      </c>
      <c r="M61" s="1" t="s">
        <v>31</v>
      </c>
    </row>
    <row r="62" customFormat="false" ht="12.8" hidden="false" customHeight="false" outlineLevel="0" collapsed="false">
      <c r="A62" s="1" t="s">
        <v>33</v>
      </c>
      <c r="B62" s="1" t="str">
        <f aca="false">B$6</f>
        <v>http://localhost:8888/v1</v>
      </c>
      <c r="C62" s="1" t="s">
        <v>28</v>
      </c>
      <c r="D62" s="2" t="n">
        <v>1</v>
      </c>
      <c r="E62" s="2" t="s">
        <v>29</v>
      </c>
      <c r="F62" s="13" t="n">
        <v>1</v>
      </c>
      <c r="G62" s="2" t="n">
        <v>4</v>
      </c>
      <c r="H62" s="1" t="n">
        <f aca="false">H61</f>
        <v>4201337</v>
      </c>
      <c r="I62" s="1" t="str">
        <f aca="false">A62&amp;"_"&amp;C62&amp;"_"&amp;E62&amp;"_t-"&amp;F62&amp;"_b-"&amp;G62&amp;"_f-"&amp;D62&amp;"_s-"&amp;H62</f>
        <v>burrito@llamacpp_chat_medium_t-1_b-4_f-1_s-4201337</v>
      </c>
      <c r="J62" s="1" t="s">
        <v>42</v>
      </c>
      <c r="K62" s="1" t="str">
        <f aca="false">"env OPENAI_API_KEY=sk-none OPENAI_BASE_URL="&amp;B62&amp;" BFCL_PROJECT_ROOT="&amp;$B$3&amp;I62&amp;" bfcl generate --model "&amp;$B$2&amp;C62&amp;IF(D62=1,"-FC","")&amp;" --test-category="&amp;J62&amp;" --temperature="&amp;TEXT(F62,"0.0000")&amp;" --num-threads="&amp;G62</f>
        <v>env OPENAI_API_KEY=sk-none OPENAI_BASE_URL=http://localhost:8888/v1 BFCL_PROJECT_ROOT=/home/p/Code/local/burrito-evals/data/bfcl_v4/burrito@llamacpp_chat_medium_t-1_b-4_f-1_s-4201337 bfcl generate --model gpt-oss-20b-chat-FC --test-category=irrelevance,live_relevance,live_simple,multi_turn_base,simple_java,simple_javascript,simple_python --temperature=1.0000 --num-threads=4</v>
      </c>
      <c r="L62" s="1" t="str">
        <f aca="false">"env OPENAI_API_KEY=sk-none BFCL_PROJECT_ROOT="&amp;$B$3&amp;I62&amp;" bfcl evaluate --model "&amp;$B$2&amp;C62&amp;IF(D62=1,"-FC","")&amp;" --test-category="&amp;J62</f>
        <v>env OPENAI_API_KEY=sk-none BFCL_PROJECT_ROOT=/home/p/Code/local/burrito-evals/data/bfcl_v4/burrito@llamacpp_chat_medium_t-1_b-4_f-1_s-4201337 bfcl evaluate --model gpt-oss-20b-chat-FC --test-category=irrelevance,live_relevance,live_simple,multi_turn_base,simple_java,simple_javascript,simple_python</v>
      </c>
      <c r="M62" s="1" t="s">
        <v>31</v>
      </c>
    </row>
    <row r="63" customFormat="false" ht="12.8" hidden="false" customHeight="false" outlineLevel="0" collapsed="false">
      <c r="A63" s="1" t="s">
        <v>33</v>
      </c>
      <c r="B63" s="1" t="str">
        <f aca="false">B$6</f>
        <v>http://localhost:8888/v1</v>
      </c>
      <c r="C63" s="1" t="s">
        <v>32</v>
      </c>
      <c r="D63" s="2" t="n">
        <v>1</v>
      </c>
      <c r="E63" s="2" t="s">
        <v>29</v>
      </c>
      <c r="F63" s="13" t="n">
        <v>1</v>
      </c>
      <c r="G63" s="2" t="n">
        <v>4</v>
      </c>
      <c r="H63" s="1" t="n">
        <f aca="false">H62</f>
        <v>4201337</v>
      </c>
      <c r="I63" s="1" t="str">
        <f aca="false">A63&amp;"_"&amp;C63&amp;"_"&amp;E63&amp;"_t-"&amp;F63&amp;"_b-"&amp;G63&amp;"_f-"&amp;D63&amp;"_s-"&amp;H63</f>
        <v>burrito@llamacpp_responses_medium_t-1_b-4_f-1_s-4201337</v>
      </c>
      <c r="J63" s="1" t="s">
        <v>42</v>
      </c>
      <c r="K63" s="1" t="str">
        <f aca="false">"env OPENAI_API_KEY=sk-none OPENAI_BASE_URL="&amp;B63&amp;" BFCL_PROJECT_ROOT="&amp;$B$3&amp;I63&amp;" bfcl generate --model "&amp;$B$2&amp;C63&amp;IF(D63=1,"-FC","")&amp;" --test-category="&amp;J63&amp;" --temperature="&amp;TEXT(F63,"0.0000")&amp;" --num-threads="&amp;G63</f>
        <v>env OPENAI_API_KEY=sk-none OPENAI_BASE_URL=http://localhost:8888/v1 BFCL_PROJECT_ROOT=/home/p/Code/local/burrito-evals/data/bfcl_v4/burrito@llamacpp_responses_medium_t-1_b-4_f-1_s-4201337 bfcl generate --model gpt-oss-20b-responses-FC --test-category=irrelevance,live_relevance,live_simple,multi_turn_base,simple_java,simple_javascript,simple_python --temperature=1.0000 --num-threads=4</v>
      </c>
      <c r="L63" s="1" t="str">
        <f aca="false">"env OPENAI_API_KEY=sk-none BFCL_PROJECT_ROOT="&amp;$B$3&amp;I63&amp;" bfcl evaluate --model "&amp;$B$2&amp;C63&amp;IF(D63=1,"-FC","")&amp;" --test-category="&amp;J63</f>
        <v>env OPENAI_API_KEY=sk-none BFCL_PROJECT_ROOT=/home/p/Code/local/burrito-evals/data/bfcl_v4/burrito@llamacpp_responses_medium_t-1_b-4_f-1_s-4201337 bfcl evaluate --model gpt-oss-20b-responses-FC --test-category=irrelevance,live_relevance,live_simple,multi_turn_base,simple_java,simple_javascript,simple_python</v>
      </c>
      <c r="M63" s="1" t="s">
        <v>31</v>
      </c>
    </row>
    <row r="64" customFormat="false" ht="12.8" hidden="false" customHeight="false" outlineLevel="0" collapsed="false">
      <c r="F64" s="13"/>
      <c r="K64" s="12" t="str">
        <f aca="false">K60&amp;" &amp;&amp; "&amp;K61&amp;" &amp;&amp; "&amp;K62&amp;" &amp;&amp; "&amp;K63</f>
        <v>env OPENAI_API_KEY=sk-none OPENAI_BASE_URL=http://localhost:9999/v1 BFCL_PROJECT_ROOT=/home/p/Code/local/burrito-evals/data/bfcl_v4/llamacpp_chat_medium_t-1_b-4_f-1_s-4201337 bfcl generate --model gpt-oss-20b-chat-FC --test-category=irrelevance,live_relevance,live_simple,multi_turn_base,simple_java,simple_javascript,simple_python --temperature=1.0000 --num-threads=4 &amp;&amp; env OPENAI_API_KEY=sk-none OPENAI_BASE_URL=http://localhost:9999/v1 BFCL_PROJECT_ROOT=/home/p/Code/local/burrito-evals/data/bfcl_v4/llamacpp_responses_medium_t-1_b-4_f-1_s-4201337 bfcl generate --model gpt-oss-20b-responses-FC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BFCL_PROJECT_ROOT=/home/p/Code/local/burrito-evals/data/bfcl_v4/burrito@llamacpp_chat_medium_t-1_b-4_f-1_s-4201337 bfcl generate --model gpt-oss-20b-chat-FC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BFCL_PROJECT_ROOT=/home/p/Code/local/burrito-evals/data/bfcl_v4/burrito@llamacpp_responses_medium_t-1_b-4_f-1_s-4201337 bfcl generate --model gpt-oss-20b-responses-FC --test-category=irrelevance,live_relevance,live_simple,multi_turn_base,simple_java,simple_javascript,simple_python --temperature=1.0000 --num-threads=4</v>
      </c>
      <c r="L64" s="12" t="str">
        <f aca="false">L60&amp;" &amp;&amp; "&amp;L61&amp;" &amp;&amp; "&amp;L62&amp;" &amp;&amp; "&amp;L63</f>
        <v>env OPENAI_API_KEY=sk-none BFCL_PROJECT_ROOT=/home/p/Code/local/burrito-evals/data/bfcl_v4/llamacpp_chat_medium_t-1_b-4_f-1_s-4201337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BFCL_PROJECT_ROOT=/home/p/Code/local/burrito-evals/data/bfcl_v4/llamacpp_responses_medium_t-1_b-4_f-1_s-4201337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BFCL_PROJECT_ROOT=/home/p/Code/local/burrito-evals/data/bfcl_v4/burrito@llamacpp_chat_medium_t-1_b-4_f-1_s-4201337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BFCL_PROJECT_ROOT=/home/p/Code/local/burrito-evals/data/bfcl_v4/burrito@llamacpp_responses_medium_t-1_b-4_f-1_s-4201337 bfcl evaluate --model gpt-oss-20b-responses-FC --test-category=irrelevance,live_relevance,live_simple,multi_turn_base,simple_java,simple_javascript,simple_python</v>
      </c>
      <c r="M64" s="1" t="s">
        <v>31</v>
      </c>
    </row>
    <row r="65" customFormat="false" ht="12.8" hidden="false" customHeight="false" outlineLevel="0" collapsed="false">
      <c r="A65" s="11" t="s">
        <v>27</v>
      </c>
      <c r="F65" s="13"/>
      <c r="K65" s="12"/>
      <c r="L65" s="12"/>
      <c r="M65" s="1" t="s">
        <v>31</v>
      </c>
    </row>
    <row r="66" customFormat="false" ht="12.8" hidden="false" customHeight="false" outlineLevel="0" collapsed="false">
      <c r="A66" s="1" t="s">
        <v>27</v>
      </c>
      <c r="B66" s="1" t="str">
        <f aca="false">B$4</f>
        <v>http://localhost:9999/v1</v>
      </c>
      <c r="C66" s="1" t="s">
        <v>28</v>
      </c>
      <c r="D66" s="2" t="n">
        <v>1</v>
      </c>
      <c r="E66" s="2" t="s">
        <v>29</v>
      </c>
      <c r="F66" s="13" t="n">
        <v>1</v>
      </c>
      <c r="G66" s="2" t="n">
        <v>4</v>
      </c>
      <c r="H66" s="1" t="n">
        <v>680867</v>
      </c>
      <c r="I66" s="1" t="str">
        <f aca="false">A66&amp;"_"&amp;C66&amp;"_"&amp;E66&amp;"_t-"&amp;F66&amp;"_b-"&amp;G66&amp;"_f-"&amp;D66&amp;"_s-"&amp;H66</f>
        <v>llamacpp_chat_medium_t-1_b-4_f-1_s-680867</v>
      </c>
      <c r="J66" s="1" t="s">
        <v>42</v>
      </c>
      <c r="K66" s="1" t="str">
        <f aca="false">"env OPENAI_API_KEY=sk-none OPENAI_BASE_URL="&amp;B66&amp;" BFCL_PROJECT_ROOT="&amp;$B$3&amp;I66&amp;" bfcl generate --model "&amp;$B$2&amp;C66&amp;IF(D66=1,"-FC","")&amp;" --test-category="&amp;J66&amp;" --temperature="&amp;TEXT(F66,"0.0000")&amp;" --num-threads="&amp;G66</f>
        <v>env OPENAI_API_KEY=sk-none OPENAI_BASE_URL=http://localhost:9999/v1 BFCL_PROJECT_ROOT=/home/p/Code/local/burrito-evals/data/bfcl_v4/llamacpp_chat_medium_t-1_b-4_f-1_s-680867 bfcl generate --model gpt-oss-20b-chat-FC --test-category=irrelevance,live_relevance,live_simple,multi_turn_base,simple_java,simple_javascript,simple_python --temperature=1.0000 --num-threads=4</v>
      </c>
      <c r="L66" s="1" t="str">
        <f aca="false">"env OPENAI_API_KEY=sk-none BFCL_PROJECT_ROOT="&amp;$B$3&amp;I66&amp;" bfcl evaluate --model "&amp;$B$2&amp;C66&amp;IF(D66=1,"-FC","")&amp;" --test-category="&amp;J66</f>
        <v>env OPENAI_API_KEY=sk-none BFCL_PROJECT_ROOT=/home/p/Code/local/burrito-evals/data/bfcl_v4/llamacpp_chat_medium_t-1_b-4_f-1_s-680867 bfcl evaluate --model gpt-oss-20b-chat-FC --test-category=irrelevance,live_relevance,live_simple,multi_turn_base,simple_java,simple_javascript,simple_python</v>
      </c>
      <c r="M66" s="1" t="s">
        <v>31</v>
      </c>
    </row>
    <row r="67" customFormat="false" ht="12.8" hidden="false" customHeight="false" outlineLevel="0" collapsed="false">
      <c r="A67" s="1" t="s">
        <v>27</v>
      </c>
      <c r="B67" s="1" t="str">
        <f aca="false">B$4</f>
        <v>http://localhost:9999/v1</v>
      </c>
      <c r="C67" s="1" t="s">
        <v>32</v>
      </c>
      <c r="D67" s="2" t="n">
        <v>1</v>
      </c>
      <c r="E67" s="2" t="s">
        <v>29</v>
      </c>
      <c r="F67" s="13" t="n">
        <v>1</v>
      </c>
      <c r="G67" s="2" t="n">
        <v>4</v>
      </c>
      <c r="H67" s="1" t="n">
        <f aca="false">H66</f>
        <v>680867</v>
      </c>
      <c r="I67" s="1" t="str">
        <f aca="false">A67&amp;"_"&amp;C67&amp;"_"&amp;E67&amp;"_t-"&amp;F67&amp;"_b-"&amp;G67&amp;"_f-"&amp;D67&amp;"_s-"&amp;H67</f>
        <v>llamacpp_responses_medium_t-1_b-4_f-1_s-680867</v>
      </c>
      <c r="J67" s="1" t="s">
        <v>42</v>
      </c>
      <c r="K67" s="1" t="str">
        <f aca="false">"env OPENAI_API_KEY=sk-none OPENAI_BASE_URL="&amp;B67&amp;" BFCL_PROJECT_ROOT="&amp;$B$3&amp;I67&amp;" bfcl generate --model "&amp;$B$2&amp;C67&amp;IF(D67=1,"-FC","")&amp;" --test-category="&amp;J67&amp;" --temperature="&amp;TEXT(F67,"0.0000")&amp;" --num-threads="&amp;G67</f>
        <v>env OPENAI_API_KEY=sk-none OPENAI_BASE_URL=http://localhost:9999/v1 BFCL_PROJECT_ROOT=/home/p/Code/local/burrito-evals/data/bfcl_v4/llamacpp_responses_medium_t-1_b-4_f-1_s-680867 bfcl generate --model gpt-oss-20b-responses-FC --test-category=irrelevance,live_relevance,live_simple,multi_turn_base,simple_java,simple_javascript,simple_python --temperature=1.0000 --num-threads=4</v>
      </c>
      <c r="L67" s="1" t="str">
        <f aca="false">"env OPENAI_API_KEY=sk-none BFCL_PROJECT_ROOT="&amp;$B$3&amp;I67&amp;" bfcl evaluate --model "&amp;$B$2&amp;C67&amp;IF(D67=1,"-FC","")&amp;" --test-category="&amp;J67</f>
        <v>env OPENAI_API_KEY=sk-none BFCL_PROJECT_ROOT=/home/p/Code/local/burrito-evals/data/bfcl_v4/llamacpp_responses_medium_t-1_b-4_f-1_s-680867 bfcl evaluate --model gpt-oss-20b-responses-FC --test-category=irrelevance,live_relevance,live_simple,multi_turn_base,simple_java,simple_javascript,simple_python</v>
      </c>
      <c r="M67" s="1" t="s">
        <v>31</v>
      </c>
    </row>
    <row r="68" customFormat="false" ht="12.8" hidden="false" customHeight="false" outlineLevel="0" collapsed="false">
      <c r="A68" s="1" t="s">
        <v>33</v>
      </c>
      <c r="B68" s="1" t="str">
        <f aca="false">B$6</f>
        <v>http://localhost:8888/v1</v>
      </c>
      <c r="C68" s="1" t="s">
        <v>28</v>
      </c>
      <c r="D68" s="2" t="n">
        <v>1</v>
      </c>
      <c r="E68" s="2" t="s">
        <v>29</v>
      </c>
      <c r="F68" s="13" t="n">
        <v>1</v>
      </c>
      <c r="G68" s="2" t="n">
        <v>4</v>
      </c>
      <c r="H68" s="1" t="n">
        <f aca="false">H67</f>
        <v>680867</v>
      </c>
      <c r="I68" s="1" t="str">
        <f aca="false">A68&amp;"_"&amp;C68&amp;"_"&amp;E68&amp;"_t-"&amp;F68&amp;"_b-"&amp;G68&amp;"_f-"&amp;D68&amp;"_s-"&amp;H68</f>
        <v>burrito@llamacpp_chat_medium_t-1_b-4_f-1_s-680867</v>
      </c>
      <c r="J68" s="1" t="s">
        <v>42</v>
      </c>
      <c r="K68" s="1" t="str">
        <f aca="false">"env OPENAI_API_KEY=sk-none OPENAI_BASE_URL="&amp;B68&amp;" BFCL_PROJECT_ROOT="&amp;$B$3&amp;I68&amp;" bfcl generate --model "&amp;$B$2&amp;C68&amp;IF(D68=1,"-FC","")&amp;" --test-category="&amp;J68&amp;" --temperature="&amp;TEXT(F68,"0.0000")&amp;" --num-threads="&amp;G68</f>
        <v>env OPENAI_API_KEY=sk-none OPENAI_BASE_URL=http://localhost:8888/v1 BFCL_PROJECT_ROOT=/home/p/Code/local/burrito-evals/data/bfcl_v4/burrito@llamacpp_chat_medium_t-1_b-4_f-1_s-680867 bfcl generate --model gpt-oss-20b-chat-FC --test-category=irrelevance,live_relevance,live_simple,multi_turn_base,simple_java,simple_javascript,simple_python --temperature=1.0000 --num-threads=4</v>
      </c>
      <c r="L68" s="1" t="str">
        <f aca="false">"env OPENAI_API_KEY=sk-none BFCL_PROJECT_ROOT="&amp;$B$3&amp;I68&amp;" bfcl evaluate --model "&amp;$B$2&amp;C68&amp;IF(D68=1,"-FC","")&amp;" --test-category="&amp;J68</f>
        <v>env OPENAI_API_KEY=sk-none BFCL_PROJECT_ROOT=/home/p/Code/local/burrito-evals/data/bfcl_v4/burrito@llamacpp_chat_medium_t-1_b-4_f-1_s-680867 bfcl evaluate --model gpt-oss-20b-chat-FC --test-category=irrelevance,live_relevance,live_simple,multi_turn_base,simple_java,simple_javascript,simple_python</v>
      </c>
      <c r="M68" s="1" t="s">
        <v>31</v>
      </c>
    </row>
    <row r="69" customFormat="false" ht="12.8" hidden="false" customHeight="false" outlineLevel="0" collapsed="false">
      <c r="A69" s="1" t="s">
        <v>33</v>
      </c>
      <c r="B69" s="1" t="str">
        <f aca="false">B$6</f>
        <v>http://localhost:8888/v1</v>
      </c>
      <c r="C69" s="1" t="s">
        <v>32</v>
      </c>
      <c r="D69" s="2" t="n">
        <v>1</v>
      </c>
      <c r="E69" s="2" t="s">
        <v>29</v>
      </c>
      <c r="F69" s="13" t="n">
        <v>1</v>
      </c>
      <c r="G69" s="2" t="n">
        <v>4</v>
      </c>
      <c r="H69" s="1" t="n">
        <f aca="false">H68</f>
        <v>680867</v>
      </c>
      <c r="I69" s="1" t="str">
        <f aca="false">A69&amp;"_"&amp;C69&amp;"_"&amp;E69&amp;"_t-"&amp;F69&amp;"_b-"&amp;G69&amp;"_f-"&amp;D69&amp;"_s-"&amp;H69</f>
        <v>burrito@llamacpp_responses_medium_t-1_b-4_f-1_s-680867</v>
      </c>
      <c r="J69" s="1" t="s">
        <v>42</v>
      </c>
      <c r="K69" s="1" t="str">
        <f aca="false">"env OPENAI_API_KEY=sk-none OPENAI_BASE_URL="&amp;B69&amp;" BFCL_PROJECT_ROOT="&amp;$B$3&amp;I69&amp;" bfcl generate --model "&amp;$B$2&amp;C69&amp;IF(D69=1,"-FC","")&amp;" --test-category="&amp;J69&amp;" --temperature="&amp;TEXT(F69,"0.0000")&amp;" --num-threads="&amp;G69</f>
        <v>env OPENAI_API_KEY=sk-none OPENAI_BASE_URL=http://localhost:8888/v1 BFCL_PROJECT_ROOT=/home/p/Code/local/burrito-evals/data/bfcl_v4/burrito@llamacpp_responses_medium_t-1_b-4_f-1_s-680867 bfcl generate --model gpt-oss-20b-responses-FC --test-category=irrelevance,live_relevance,live_simple,multi_turn_base,simple_java,simple_javascript,simple_python --temperature=1.0000 --num-threads=4</v>
      </c>
      <c r="L69" s="1" t="str">
        <f aca="false">"env OPENAI_API_KEY=sk-none BFCL_PROJECT_ROOT="&amp;$B$3&amp;I69&amp;" bfcl evaluate --model "&amp;$B$2&amp;C69&amp;IF(D69=1,"-FC","")&amp;" --test-category="&amp;J69</f>
        <v>env OPENAI_API_KEY=sk-none BFCL_PROJECT_ROOT=/home/p/Code/local/burrito-evals/data/bfcl_v4/burrito@llamacpp_responses_medium_t-1_b-4_f-1_s-680867 bfcl evaluate --model gpt-oss-20b-responses-FC --test-category=irrelevance,live_relevance,live_simple,multi_turn_base,simple_java,simple_javascript,simple_python</v>
      </c>
      <c r="M69" s="1" t="s">
        <v>31</v>
      </c>
    </row>
    <row r="70" customFormat="false" ht="12.8" hidden="false" customHeight="false" outlineLevel="0" collapsed="false">
      <c r="F70" s="13"/>
      <c r="K70" s="12" t="str">
        <f aca="false">K66&amp;" &amp;&amp; "&amp;K67&amp;" &amp;&amp; "&amp;K68&amp;" &amp;&amp; "&amp;K69</f>
        <v>env OPENAI_API_KEY=sk-none OPENAI_BASE_URL=http://localhost:9999/v1 BFCL_PROJECT_ROOT=/home/p/Code/local/burrito-evals/data/bfcl_v4/llamacpp_chat_medium_t-1_b-4_f-1_s-680867 bfcl generate --model gpt-oss-20b-chat-FC --test-category=irrelevance,live_relevance,live_simple,multi_turn_base,simple_java,simple_javascript,simple_python --temperature=1.0000 --num-threads=4 &amp;&amp; env OPENAI_API_KEY=sk-none OPENAI_BASE_URL=http://localhost:9999/v1 BFCL_PROJECT_ROOT=/home/p/Code/local/burrito-evals/data/bfcl_v4/llamacpp_responses_medium_t-1_b-4_f-1_s-680867 bfcl generate --model gpt-oss-20b-responses-FC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BFCL_PROJECT_ROOT=/home/p/Code/local/burrito-evals/data/bfcl_v4/burrito@llamacpp_chat_medium_t-1_b-4_f-1_s-680867 bfcl generate --model gpt-oss-20b-chat-FC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BFCL_PROJECT_ROOT=/home/p/Code/local/burrito-evals/data/bfcl_v4/burrito@llamacpp_responses_medium_t-1_b-4_f-1_s-680867 bfcl generate --model gpt-oss-20b-responses-FC --test-category=irrelevance,live_relevance,live_simple,multi_turn_base,simple_java,simple_javascript,simple_python --temperature=1.0000 --num-threads=4</v>
      </c>
      <c r="L70" s="12" t="str">
        <f aca="false">L66&amp;" &amp;&amp; "&amp;L67&amp;" &amp;&amp; "&amp;L68&amp;" &amp;&amp; "&amp;L69</f>
        <v>env OPENAI_API_KEY=sk-none BFCL_PROJECT_ROOT=/home/p/Code/local/burrito-evals/data/bfcl_v4/llamacpp_chat_medium_t-1_b-4_f-1_s-680867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BFCL_PROJECT_ROOT=/home/p/Code/local/burrito-evals/data/bfcl_v4/llamacpp_responses_medium_t-1_b-4_f-1_s-680867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BFCL_PROJECT_ROOT=/home/p/Code/local/burrito-evals/data/bfcl_v4/burrito@llamacpp_chat_medium_t-1_b-4_f-1_s-680867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BFCL_PROJECT_ROOT=/home/p/Code/local/burrito-evals/data/bfcl_v4/burrito@llamacpp_responses_medium_t-1_b-4_f-1_s-680867 bfcl evaluate --model gpt-oss-20b-responses-FC --test-category=irrelevance,live_relevance,live_simple,multi_turn_base,simple_java,simple_javascript,simple_python</v>
      </c>
      <c r="M70" s="1" t="s">
        <v>31</v>
      </c>
    </row>
    <row r="71" customFormat="false" ht="12.8" hidden="false" customHeight="false" outlineLevel="0" collapsed="false">
      <c r="A71" s="11" t="s">
        <v>27</v>
      </c>
      <c r="F71" s="13"/>
      <c r="K71" s="12"/>
      <c r="L71" s="12"/>
      <c r="M71" s="1" t="s">
        <v>31</v>
      </c>
    </row>
    <row r="72" customFormat="false" ht="12.8" hidden="false" customHeight="false" outlineLevel="0" collapsed="false">
      <c r="A72" s="1" t="s">
        <v>27</v>
      </c>
      <c r="B72" s="1" t="str">
        <f aca="false">B$4</f>
        <v>http://localhost:9999/v1</v>
      </c>
      <c r="C72" s="1" t="s">
        <v>28</v>
      </c>
      <c r="D72" s="2" t="n">
        <v>1</v>
      </c>
      <c r="E72" s="2" t="s">
        <v>29</v>
      </c>
      <c r="F72" s="13" t="n">
        <v>1</v>
      </c>
      <c r="G72" s="2" t="n">
        <v>4</v>
      </c>
      <c r="H72" s="1" t="n">
        <v>10203040</v>
      </c>
      <c r="I72" s="1" t="str">
        <f aca="false">A72&amp;"_"&amp;C72&amp;"_"&amp;E72&amp;"_t-"&amp;F72&amp;"_b-"&amp;G72&amp;"_f-"&amp;D72&amp;"_s-"&amp;H72</f>
        <v>llamacpp_chat_medium_t-1_b-4_f-1_s-10203040</v>
      </c>
      <c r="J72" s="1" t="s">
        <v>42</v>
      </c>
      <c r="K72" s="1" t="str">
        <f aca="false">"env OPENAI_API_KEY=sk-none OPENAI_BASE_URL="&amp;B72&amp;" BFCL_PROJECT_ROOT="&amp;$B$3&amp;I72&amp;" bfcl generate --model "&amp;$B$2&amp;C72&amp;IF(D72=1,"-FC","")&amp;" --test-category="&amp;J72&amp;" --temperature="&amp;TEXT(F72,"0.0000")&amp;" --num-threads="&amp;G72</f>
        <v>env OPENAI_API_KEY=sk-none OPENAI_BASE_URL=http://localhost:9999/v1 BFCL_PROJECT_ROOT=/home/p/Code/local/burrito-evals/data/bfcl_v4/llamacpp_chat_medium_t-1_b-4_f-1_s-10203040 bfcl generate --model gpt-oss-20b-chat-FC --test-category=irrelevance,live_relevance,live_simple,multi_turn_base,simple_java,simple_javascript,simple_python --temperature=1.0000 --num-threads=4</v>
      </c>
      <c r="L72" s="1" t="str">
        <f aca="false">"env OPENAI_API_KEY=sk-none BFCL_PROJECT_ROOT="&amp;$B$3&amp;I72&amp;" bfcl evaluate --model "&amp;$B$2&amp;C72&amp;IF(D72=1,"-FC","")&amp;" --test-category="&amp;J72</f>
        <v>env OPENAI_API_KEY=sk-none BFCL_PROJECT_ROOT=/home/p/Code/local/burrito-evals/data/bfcl_v4/llamacpp_chat_medium_t-1_b-4_f-1_s-10203040 bfcl evaluate --model gpt-oss-20b-chat-FC --test-category=irrelevance,live_relevance,live_simple,multi_turn_base,simple_java,simple_javascript,simple_python</v>
      </c>
      <c r="M72" s="1" t="s">
        <v>31</v>
      </c>
    </row>
    <row r="73" customFormat="false" ht="12.8" hidden="false" customHeight="false" outlineLevel="0" collapsed="false">
      <c r="A73" s="1" t="s">
        <v>27</v>
      </c>
      <c r="B73" s="1" t="str">
        <f aca="false">B$4</f>
        <v>http://localhost:9999/v1</v>
      </c>
      <c r="C73" s="1" t="s">
        <v>32</v>
      </c>
      <c r="D73" s="2" t="n">
        <v>1</v>
      </c>
      <c r="E73" s="2" t="s">
        <v>29</v>
      </c>
      <c r="F73" s="13" t="n">
        <v>1</v>
      </c>
      <c r="G73" s="2" t="n">
        <v>4</v>
      </c>
      <c r="H73" s="1" t="n">
        <f aca="false">H72</f>
        <v>10203040</v>
      </c>
      <c r="I73" s="1" t="str">
        <f aca="false">A73&amp;"_"&amp;C73&amp;"_"&amp;E73&amp;"_t-"&amp;F73&amp;"_b-"&amp;G73&amp;"_f-"&amp;D73&amp;"_s-"&amp;H73</f>
        <v>llamacpp_responses_medium_t-1_b-4_f-1_s-10203040</v>
      </c>
      <c r="J73" s="1" t="s">
        <v>42</v>
      </c>
      <c r="K73" s="1" t="str">
        <f aca="false">"env OPENAI_API_KEY=sk-none OPENAI_BASE_URL="&amp;B73&amp;" BFCL_PROJECT_ROOT="&amp;$B$3&amp;I73&amp;" bfcl generate --model "&amp;$B$2&amp;C73&amp;IF(D73=1,"-FC","")&amp;" --test-category="&amp;J73&amp;" --temperature="&amp;TEXT(F73,"0.0000")&amp;" --num-threads="&amp;G73</f>
        <v>env OPENAI_API_KEY=sk-none OPENAI_BASE_URL=http://localhost:9999/v1 BFCL_PROJECT_ROOT=/home/p/Code/local/burrito-evals/data/bfcl_v4/llamacpp_responses_medium_t-1_b-4_f-1_s-10203040 bfcl generate --model gpt-oss-20b-responses-FC --test-category=irrelevance,live_relevance,live_simple,multi_turn_base,simple_java,simple_javascript,simple_python --temperature=1.0000 --num-threads=4</v>
      </c>
      <c r="L73" s="1" t="str">
        <f aca="false">"env OPENAI_API_KEY=sk-none BFCL_PROJECT_ROOT="&amp;$B$3&amp;I73&amp;" bfcl evaluate --model "&amp;$B$2&amp;C73&amp;IF(D73=1,"-FC","")&amp;" --test-category="&amp;J73</f>
        <v>env OPENAI_API_KEY=sk-none BFCL_PROJECT_ROOT=/home/p/Code/local/burrito-evals/data/bfcl_v4/llamacpp_responses_medium_t-1_b-4_f-1_s-10203040 bfcl evaluate --model gpt-oss-20b-responses-FC --test-category=irrelevance,live_relevance,live_simple,multi_turn_base,simple_java,simple_javascript,simple_python</v>
      </c>
      <c r="M73" s="1" t="s">
        <v>31</v>
      </c>
    </row>
    <row r="74" customFormat="false" ht="12.8" hidden="false" customHeight="false" outlineLevel="0" collapsed="false">
      <c r="A74" s="1" t="s">
        <v>33</v>
      </c>
      <c r="B74" s="1" t="str">
        <f aca="false">B$6</f>
        <v>http://localhost:8888/v1</v>
      </c>
      <c r="C74" s="1" t="s">
        <v>28</v>
      </c>
      <c r="D74" s="2" t="n">
        <v>1</v>
      </c>
      <c r="E74" s="2" t="s">
        <v>29</v>
      </c>
      <c r="F74" s="13" t="n">
        <v>1</v>
      </c>
      <c r="G74" s="2" t="n">
        <v>4</v>
      </c>
      <c r="H74" s="1" t="n">
        <f aca="false">H73</f>
        <v>10203040</v>
      </c>
      <c r="I74" s="1" t="str">
        <f aca="false">A74&amp;"_"&amp;C74&amp;"_"&amp;E74&amp;"_t-"&amp;F74&amp;"_b-"&amp;G74&amp;"_f-"&amp;D74&amp;"_s-"&amp;H74</f>
        <v>burrito@llamacpp_chat_medium_t-1_b-4_f-1_s-10203040</v>
      </c>
      <c r="J74" s="1" t="s">
        <v>42</v>
      </c>
      <c r="K74" s="1" t="str">
        <f aca="false">"env OPENAI_API_KEY=sk-none OPENAI_BASE_URL="&amp;B74&amp;" BFCL_PROJECT_ROOT="&amp;$B$3&amp;I74&amp;" bfcl generate --model "&amp;$B$2&amp;C74&amp;IF(D74=1,"-FC","")&amp;" --test-category="&amp;J74&amp;" --temperature="&amp;TEXT(F74,"0.0000")&amp;" --num-threads="&amp;G74</f>
        <v>env OPENAI_API_KEY=sk-none OPENAI_BASE_URL=http://localhost:8888/v1 BFCL_PROJECT_ROOT=/home/p/Code/local/burrito-evals/data/bfcl_v4/burrito@llamacpp_chat_medium_t-1_b-4_f-1_s-10203040 bfcl generate --model gpt-oss-20b-chat-FC --test-category=irrelevance,live_relevance,live_simple,multi_turn_base,simple_java,simple_javascript,simple_python --temperature=1.0000 --num-threads=4</v>
      </c>
      <c r="L74" s="1" t="str">
        <f aca="false">"env OPENAI_API_KEY=sk-none BFCL_PROJECT_ROOT="&amp;$B$3&amp;I74&amp;" bfcl evaluate --model "&amp;$B$2&amp;C74&amp;IF(D74=1,"-FC","")&amp;" --test-category="&amp;J74</f>
        <v>env OPENAI_API_KEY=sk-none BFCL_PROJECT_ROOT=/home/p/Code/local/burrito-evals/data/bfcl_v4/burrito@llamacpp_chat_medium_t-1_b-4_f-1_s-10203040 bfcl evaluate --model gpt-oss-20b-chat-FC --test-category=irrelevance,live_relevance,live_simple,multi_turn_base,simple_java,simple_javascript,simple_python</v>
      </c>
      <c r="M74" s="1" t="s">
        <v>31</v>
      </c>
    </row>
    <row r="75" customFormat="false" ht="12.8" hidden="false" customHeight="false" outlineLevel="0" collapsed="false">
      <c r="A75" s="1" t="s">
        <v>33</v>
      </c>
      <c r="B75" s="1" t="str">
        <f aca="false">B$6</f>
        <v>http://localhost:8888/v1</v>
      </c>
      <c r="C75" s="1" t="s">
        <v>32</v>
      </c>
      <c r="D75" s="2" t="n">
        <v>1</v>
      </c>
      <c r="E75" s="2" t="s">
        <v>29</v>
      </c>
      <c r="F75" s="13" t="n">
        <v>1</v>
      </c>
      <c r="G75" s="2" t="n">
        <v>4</v>
      </c>
      <c r="H75" s="1" t="n">
        <f aca="false">H74</f>
        <v>10203040</v>
      </c>
      <c r="I75" s="1" t="str">
        <f aca="false">A75&amp;"_"&amp;C75&amp;"_"&amp;E75&amp;"_t-"&amp;F75&amp;"_b-"&amp;G75&amp;"_f-"&amp;D75&amp;"_s-"&amp;H75</f>
        <v>burrito@llamacpp_responses_medium_t-1_b-4_f-1_s-10203040</v>
      </c>
      <c r="J75" s="1" t="s">
        <v>42</v>
      </c>
      <c r="K75" s="1" t="str">
        <f aca="false">"env OPENAI_API_KEY=sk-none OPENAI_BASE_URL="&amp;B75&amp;" BFCL_PROJECT_ROOT="&amp;$B$3&amp;I75&amp;" bfcl generate --model "&amp;$B$2&amp;C75&amp;IF(D75=1,"-FC","")&amp;" --test-category="&amp;J75&amp;" --temperature="&amp;TEXT(F75,"0.0000")&amp;" --num-threads="&amp;G75</f>
        <v>env OPENAI_API_KEY=sk-none OPENAI_BASE_URL=http://localhost:8888/v1 BFCL_PROJECT_ROOT=/home/p/Code/local/burrito-evals/data/bfcl_v4/burrito@llamacpp_responses_medium_t-1_b-4_f-1_s-10203040 bfcl generate --model gpt-oss-20b-responses-FC --test-category=irrelevance,live_relevance,live_simple,multi_turn_base,simple_java,simple_javascript,simple_python --temperature=1.0000 --num-threads=4</v>
      </c>
      <c r="L75" s="1" t="str">
        <f aca="false">"env OPENAI_API_KEY=sk-none BFCL_PROJECT_ROOT="&amp;$B$3&amp;I75&amp;" bfcl evaluate --model "&amp;$B$2&amp;C75&amp;IF(D75=1,"-FC","")&amp;" --test-category="&amp;J75</f>
        <v>env OPENAI_API_KEY=sk-none BFCL_PROJECT_ROOT=/home/p/Code/local/burrito-evals/data/bfcl_v4/burrito@llamacpp_responses_medium_t-1_b-4_f-1_s-10203040 bfcl evaluate --model gpt-oss-20b-responses-FC --test-category=irrelevance,live_relevance,live_simple,multi_turn_base,simple_java,simple_javascript,simple_python</v>
      </c>
      <c r="M75" s="1" t="s">
        <v>31</v>
      </c>
    </row>
    <row r="76" customFormat="false" ht="12.8" hidden="false" customHeight="false" outlineLevel="0" collapsed="false">
      <c r="F76" s="13"/>
      <c r="K76" s="12" t="str">
        <f aca="false">K72&amp;" &amp;&amp; "&amp;K73&amp;" &amp;&amp; "&amp;K74&amp;" &amp;&amp; "&amp;K75</f>
        <v>env OPENAI_API_KEY=sk-none OPENAI_BASE_URL=http://localhost:9999/v1 BFCL_PROJECT_ROOT=/home/p/Code/local/burrito-evals/data/bfcl_v4/llamacpp_chat_medium_t-1_b-4_f-1_s-10203040 bfcl generate --model gpt-oss-20b-chat-FC --test-category=irrelevance,live_relevance,live_simple,multi_turn_base,simple_java,simple_javascript,simple_python --temperature=1.0000 --num-threads=4 &amp;&amp; env OPENAI_API_KEY=sk-none OPENAI_BASE_URL=http://localhost:9999/v1 BFCL_PROJECT_ROOT=/home/p/Code/local/burrito-evals/data/bfcl_v4/llamacpp_responses_medium_t-1_b-4_f-1_s-10203040 bfcl generate --model gpt-oss-20b-responses-FC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BFCL_PROJECT_ROOT=/home/p/Code/local/burrito-evals/data/bfcl_v4/burrito@llamacpp_chat_medium_t-1_b-4_f-1_s-10203040 bfcl generate --model gpt-oss-20b-chat-FC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BFCL_PROJECT_ROOT=/home/p/Code/local/burrito-evals/data/bfcl_v4/burrito@llamacpp_responses_medium_t-1_b-4_f-1_s-10203040 bfcl generate --model gpt-oss-20b-responses-FC --test-category=irrelevance,live_relevance,live_simple,multi_turn_base,simple_java,simple_javascript,simple_python --temperature=1.0000 --num-threads=4</v>
      </c>
      <c r="L76" s="12" t="str">
        <f aca="false">L72&amp;" &amp;&amp; "&amp;L73&amp;" &amp;&amp; "&amp;L74&amp;" &amp;&amp; "&amp;L75</f>
        <v>env OPENAI_API_KEY=sk-none BFCL_PROJECT_ROOT=/home/p/Code/local/burrito-evals/data/bfcl_v4/llamacpp_chat_medium_t-1_b-4_f-1_s-10203040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BFCL_PROJECT_ROOT=/home/p/Code/local/burrito-evals/data/bfcl_v4/llamacpp_responses_medium_t-1_b-4_f-1_s-10203040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BFCL_PROJECT_ROOT=/home/p/Code/local/burrito-evals/data/bfcl_v4/burrito@llamacpp_chat_medium_t-1_b-4_f-1_s-10203040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BFCL_PROJECT_ROOT=/home/p/Code/local/burrito-evals/data/bfcl_v4/burrito@llamacpp_responses_medium_t-1_b-4_f-1_s-10203040 bfcl evaluate --model gpt-oss-20b-responses-FC --test-category=irrelevance,live_relevance,live_simple,multi_turn_base,simple_java,simple_javascript,simple_python</v>
      </c>
      <c r="M76" s="1" t="s">
        <v>31</v>
      </c>
    </row>
    <row r="77" customFormat="false" ht="12.8" hidden="false" customHeight="false" outlineLevel="0" collapsed="false">
      <c r="A77" s="11" t="s">
        <v>27</v>
      </c>
      <c r="F77" s="13"/>
      <c r="K77" s="12"/>
      <c r="L77" s="12"/>
      <c r="M77" s="1" t="s">
        <v>31</v>
      </c>
    </row>
    <row r="78" customFormat="false" ht="12.8" hidden="false" customHeight="false" outlineLevel="0" collapsed="false">
      <c r="A78" s="1" t="s">
        <v>27</v>
      </c>
      <c r="B78" s="1" t="str">
        <f aca="false">B$4</f>
        <v>http://localhost:9999/v1</v>
      </c>
      <c r="C78" s="1" t="s">
        <v>28</v>
      </c>
      <c r="D78" s="2" t="n">
        <v>1</v>
      </c>
      <c r="E78" s="2" t="s">
        <v>29</v>
      </c>
      <c r="F78" s="13" t="n">
        <v>1</v>
      </c>
      <c r="G78" s="2" t="n">
        <v>4</v>
      </c>
      <c r="H78" s="1" t="n">
        <v>314159265</v>
      </c>
      <c r="I78" s="1" t="str">
        <f aca="false">A78&amp;"_"&amp;C78&amp;"_"&amp;E78&amp;"_t-"&amp;F78&amp;"_b-"&amp;G78&amp;"_f-"&amp;D78&amp;"_s-"&amp;H78</f>
        <v>llamacpp_chat_medium_t-1_b-4_f-1_s-314159265</v>
      </c>
      <c r="J78" s="1" t="s">
        <v>42</v>
      </c>
      <c r="K78" s="1" t="str">
        <f aca="false">"env OPENAI_API_KEY=sk-none OPENAI_BASE_URL="&amp;B78&amp;" BFCL_PROJECT_ROOT="&amp;$B$3&amp;I78&amp;" bfcl generate --model "&amp;$B$2&amp;C78&amp;IF(D78=1,"-FC","")&amp;" --test-category="&amp;J78&amp;" --temperature="&amp;TEXT(F78,"0.0000")&amp;" --num-threads="&amp;G78</f>
        <v>env OPENAI_API_KEY=sk-none OPENAI_BASE_URL=http://localhost:9999/v1 BFCL_PROJECT_ROOT=/home/p/Code/local/burrito-evals/data/bfcl_v4/llamacpp_chat_medium_t-1_b-4_f-1_s-314159265 bfcl generate --model gpt-oss-20b-chat-FC --test-category=irrelevance,live_relevance,live_simple,multi_turn_base,simple_java,simple_javascript,simple_python --temperature=1.0000 --num-threads=4</v>
      </c>
      <c r="L78" s="1" t="str">
        <f aca="false">"env OPENAI_API_KEY=sk-none BFCL_PROJECT_ROOT="&amp;$B$3&amp;I78&amp;" bfcl evaluate --model "&amp;$B$2&amp;C78&amp;IF(D78=1,"-FC","")&amp;" --test-category="&amp;J78</f>
        <v>env OPENAI_API_KEY=sk-none BFCL_PROJECT_ROOT=/home/p/Code/local/burrito-evals/data/bfcl_v4/llamacpp_chat_medium_t-1_b-4_f-1_s-314159265 bfcl evaluate --model gpt-oss-20b-chat-FC --test-category=irrelevance,live_relevance,live_simple,multi_turn_base,simple_java,simple_javascript,simple_python</v>
      </c>
      <c r="M78" s="1" t="s">
        <v>31</v>
      </c>
    </row>
    <row r="79" customFormat="false" ht="12.8" hidden="false" customHeight="false" outlineLevel="0" collapsed="false">
      <c r="A79" s="1" t="s">
        <v>27</v>
      </c>
      <c r="B79" s="1" t="str">
        <f aca="false">B$4</f>
        <v>http://localhost:9999/v1</v>
      </c>
      <c r="C79" s="1" t="s">
        <v>32</v>
      </c>
      <c r="D79" s="2" t="n">
        <v>1</v>
      </c>
      <c r="E79" s="2" t="s">
        <v>29</v>
      </c>
      <c r="F79" s="13" t="n">
        <v>1</v>
      </c>
      <c r="G79" s="2" t="n">
        <v>4</v>
      </c>
      <c r="H79" s="1" t="n">
        <f aca="false">H78</f>
        <v>314159265</v>
      </c>
      <c r="I79" s="1" t="str">
        <f aca="false">A79&amp;"_"&amp;C79&amp;"_"&amp;E79&amp;"_t-"&amp;F79&amp;"_b-"&amp;G79&amp;"_f-"&amp;D79&amp;"_s-"&amp;H79</f>
        <v>llamacpp_responses_medium_t-1_b-4_f-1_s-314159265</v>
      </c>
      <c r="J79" s="1" t="s">
        <v>42</v>
      </c>
      <c r="K79" s="1" t="str">
        <f aca="false">"env OPENAI_API_KEY=sk-none OPENAI_BASE_URL="&amp;B79&amp;" BFCL_PROJECT_ROOT="&amp;$B$3&amp;I79&amp;" bfcl generate --model "&amp;$B$2&amp;C79&amp;IF(D79=1,"-FC","")&amp;" --test-category="&amp;J79&amp;" --temperature="&amp;TEXT(F79,"0.0000")&amp;" --num-threads="&amp;G79</f>
        <v>env OPENAI_API_KEY=sk-none OPENAI_BASE_URL=http://localhost:9999/v1 BFCL_PROJECT_ROOT=/home/p/Code/local/burrito-evals/data/bfcl_v4/llamacpp_responses_medium_t-1_b-4_f-1_s-314159265 bfcl generate --model gpt-oss-20b-responses-FC --test-category=irrelevance,live_relevance,live_simple,multi_turn_base,simple_java,simple_javascript,simple_python --temperature=1.0000 --num-threads=4</v>
      </c>
      <c r="L79" s="1" t="str">
        <f aca="false">"env OPENAI_API_KEY=sk-none BFCL_PROJECT_ROOT="&amp;$B$3&amp;I79&amp;" bfcl evaluate --model "&amp;$B$2&amp;C79&amp;IF(D79=1,"-FC","")&amp;" --test-category="&amp;J79</f>
        <v>env OPENAI_API_KEY=sk-none BFCL_PROJECT_ROOT=/home/p/Code/local/burrito-evals/data/bfcl_v4/llamacpp_responses_medium_t-1_b-4_f-1_s-314159265 bfcl evaluate --model gpt-oss-20b-responses-FC --test-category=irrelevance,live_relevance,live_simple,multi_turn_base,simple_java,simple_javascript,simple_python</v>
      </c>
      <c r="M79" s="1" t="s">
        <v>31</v>
      </c>
    </row>
    <row r="80" customFormat="false" ht="12.8" hidden="false" customHeight="false" outlineLevel="0" collapsed="false">
      <c r="A80" s="1" t="s">
        <v>33</v>
      </c>
      <c r="B80" s="1" t="str">
        <f aca="false">B$6</f>
        <v>http://localhost:8888/v1</v>
      </c>
      <c r="C80" s="1" t="s">
        <v>28</v>
      </c>
      <c r="D80" s="2" t="n">
        <v>1</v>
      </c>
      <c r="E80" s="2" t="s">
        <v>29</v>
      </c>
      <c r="F80" s="13" t="n">
        <v>1</v>
      </c>
      <c r="G80" s="2" t="n">
        <v>4</v>
      </c>
      <c r="H80" s="1" t="n">
        <f aca="false">H79</f>
        <v>314159265</v>
      </c>
      <c r="I80" s="1" t="str">
        <f aca="false">A80&amp;"_"&amp;C80&amp;"_"&amp;E80&amp;"_t-"&amp;F80&amp;"_b-"&amp;G80&amp;"_f-"&amp;D80&amp;"_s-"&amp;H80</f>
        <v>burrito@llamacpp_chat_medium_t-1_b-4_f-1_s-314159265</v>
      </c>
      <c r="J80" s="1" t="s">
        <v>42</v>
      </c>
      <c r="K80" s="1" t="str">
        <f aca="false">"env OPENAI_API_KEY=sk-none OPENAI_BASE_URL="&amp;B80&amp;" BFCL_PROJECT_ROOT="&amp;$B$3&amp;I80&amp;" bfcl generate --model "&amp;$B$2&amp;C80&amp;IF(D80=1,"-FC","")&amp;" --test-category="&amp;J80&amp;" --temperature="&amp;TEXT(F80,"0.0000")&amp;" --num-threads="&amp;G80</f>
        <v>env OPENAI_API_KEY=sk-none OPENAI_BASE_URL=http://localhost:8888/v1 BFCL_PROJECT_ROOT=/home/p/Code/local/burrito-evals/data/bfcl_v4/burrito@llamacpp_chat_medium_t-1_b-4_f-1_s-314159265 bfcl generate --model gpt-oss-20b-chat-FC --test-category=irrelevance,live_relevance,live_simple,multi_turn_base,simple_java,simple_javascript,simple_python --temperature=1.0000 --num-threads=4</v>
      </c>
      <c r="L80" s="1" t="str">
        <f aca="false">"env OPENAI_API_KEY=sk-none BFCL_PROJECT_ROOT="&amp;$B$3&amp;I80&amp;" bfcl evaluate --model "&amp;$B$2&amp;C80&amp;IF(D80=1,"-FC","")&amp;" --test-category="&amp;J80</f>
        <v>env OPENAI_API_KEY=sk-none BFCL_PROJECT_ROOT=/home/p/Code/local/burrito-evals/data/bfcl_v4/burrito@llamacpp_chat_medium_t-1_b-4_f-1_s-314159265 bfcl evaluate --model gpt-oss-20b-chat-FC --test-category=irrelevance,live_relevance,live_simple,multi_turn_base,simple_java,simple_javascript,simple_python</v>
      </c>
      <c r="M80" s="1" t="s">
        <v>31</v>
      </c>
    </row>
    <row r="81" customFormat="false" ht="12.8" hidden="false" customHeight="false" outlineLevel="0" collapsed="false">
      <c r="A81" s="1" t="s">
        <v>33</v>
      </c>
      <c r="B81" s="1" t="str">
        <f aca="false">B$6</f>
        <v>http://localhost:8888/v1</v>
      </c>
      <c r="C81" s="1" t="s">
        <v>32</v>
      </c>
      <c r="D81" s="2" t="n">
        <v>1</v>
      </c>
      <c r="E81" s="2" t="s">
        <v>29</v>
      </c>
      <c r="F81" s="13" t="n">
        <v>1</v>
      </c>
      <c r="G81" s="2" t="n">
        <v>4</v>
      </c>
      <c r="H81" s="1" t="n">
        <f aca="false">H80</f>
        <v>314159265</v>
      </c>
      <c r="I81" s="1" t="str">
        <f aca="false">A81&amp;"_"&amp;C81&amp;"_"&amp;E81&amp;"_t-"&amp;F81&amp;"_b-"&amp;G81&amp;"_f-"&amp;D81&amp;"_s-"&amp;H81</f>
        <v>burrito@llamacpp_responses_medium_t-1_b-4_f-1_s-314159265</v>
      </c>
      <c r="J81" s="1" t="s">
        <v>42</v>
      </c>
      <c r="K81" s="1" t="str">
        <f aca="false">"env OPENAI_API_KEY=sk-none OPENAI_BASE_URL="&amp;B81&amp;" BFCL_PROJECT_ROOT="&amp;$B$3&amp;I81&amp;" bfcl generate --model "&amp;$B$2&amp;C81&amp;IF(D81=1,"-FC","")&amp;" --test-category="&amp;J81&amp;" --temperature="&amp;TEXT(F81,"0.0000")&amp;" --num-threads="&amp;G81</f>
        <v>env OPENAI_API_KEY=sk-none OPENAI_BASE_URL=http://localhost:8888/v1 BFCL_PROJECT_ROOT=/home/p/Code/local/burrito-evals/data/bfcl_v4/burrito@llamacpp_responses_medium_t-1_b-4_f-1_s-314159265 bfcl generate --model gpt-oss-20b-responses-FC --test-category=irrelevance,live_relevance,live_simple,multi_turn_base,simple_java,simple_javascript,simple_python --temperature=1.0000 --num-threads=4</v>
      </c>
      <c r="L81" s="1" t="str">
        <f aca="false">"env OPENAI_API_KEY=sk-none BFCL_PROJECT_ROOT="&amp;$B$3&amp;I81&amp;" bfcl evaluate --model "&amp;$B$2&amp;C81&amp;IF(D81=1,"-FC","")&amp;" --test-category="&amp;J81</f>
        <v>env OPENAI_API_KEY=sk-none BFCL_PROJECT_ROOT=/home/p/Code/local/burrito-evals/data/bfcl_v4/burrito@llamacpp_responses_medium_t-1_b-4_f-1_s-314159265 bfcl evaluate --model gpt-oss-20b-responses-FC --test-category=irrelevance,live_relevance,live_simple,multi_turn_base,simple_java,simple_javascript,simple_python</v>
      </c>
      <c r="M81" s="1" t="s">
        <v>31</v>
      </c>
    </row>
    <row r="82" customFormat="false" ht="12.8" hidden="false" customHeight="false" outlineLevel="0" collapsed="false">
      <c r="F82" s="13"/>
      <c r="K82" s="12" t="str">
        <f aca="false">K78&amp;" &amp;&amp; "&amp;K79&amp;" &amp;&amp; "&amp;K80&amp;" &amp;&amp; "&amp;K81</f>
        <v>env OPENAI_API_KEY=sk-none OPENAI_BASE_URL=http://localhost:9999/v1 BFCL_PROJECT_ROOT=/home/p/Code/local/burrito-evals/data/bfcl_v4/llamacpp_chat_medium_t-1_b-4_f-1_s-314159265 bfcl generate --model gpt-oss-20b-chat-FC --test-category=irrelevance,live_relevance,live_simple,multi_turn_base,simple_java,simple_javascript,simple_python --temperature=1.0000 --num-threads=4 &amp;&amp; env OPENAI_API_KEY=sk-none OPENAI_BASE_URL=http://localhost:9999/v1 BFCL_PROJECT_ROOT=/home/p/Code/local/burrito-evals/data/bfcl_v4/llamacpp_responses_medium_t-1_b-4_f-1_s-314159265 bfcl generate --model gpt-oss-20b-responses-FC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BFCL_PROJECT_ROOT=/home/p/Code/local/burrito-evals/data/bfcl_v4/burrito@llamacpp_chat_medium_t-1_b-4_f-1_s-314159265 bfcl generate --model gpt-oss-20b-chat-FC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BFCL_PROJECT_ROOT=/home/p/Code/local/burrito-evals/data/bfcl_v4/burrito@llamacpp_responses_medium_t-1_b-4_f-1_s-314159265 bfcl generate --model gpt-oss-20b-responses-FC --test-category=irrelevance,live_relevance,live_simple,multi_turn_base,simple_java,simple_javascript,simple_python --temperature=1.0000 --num-threads=4</v>
      </c>
      <c r="L82" s="12" t="str">
        <f aca="false">L78&amp;" &amp;&amp; "&amp;L79&amp;" &amp;&amp; "&amp;L80&amp;" &amp;&amp; "&amp;L81</f>
        <v>env OPENAI_API_KEY=sk-none BFCL_PROJECT_ROOT=/home/p/Code/local/burrito-evals/data/bfcl_v4/llamacpp_chat_medium_t-1_b-4_f-1_s-314159265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BFCL_PROJECT_ROOT=/home/p/Code/local/burrito-evals/data/bfcl_v4/llamacpp_responses_medium_t-1_b-4_f-1_s-314159265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BFCL_PROJECT_ROOT=/home/p/Code/local/burrito-evals/data/bfcl_v4/burrito@llamacpp_chat_medium_t-1_b-4_f-1_s-314159265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BFCL_PROJECT_ROOT=/home/p/Code/local/burrito-evals/data/bfcl_v4/burrito@llamacpp_responses_medium_t-1_b-4_f-1_s-314159265 bfcl evaluate --model gpt-oss-20b-responses-FC --test-category=irrelevance,live_relevance,live_simple,multi_turn_base,simple_java,simple_javascript,simple_python</v>
      </c>
      <c r="M82" s="1" t="s">
        <v>31</v>
      </c>
    </row>
    <row r="83" customFormat="false" ht="12.8" hidden="false" customHeight="false" outlineLevel="0" collapsed="false">
      <c r="A83" s="11" t="s">
        <v>27</v>
      </c>
      <c r="F83" s="13"/>
      <c r="K83" s="12"/>
      <c r="L83" s="12"/>
      <c r="M83" s="1" t="s">
        <v>31</v>
      </c>
    </row>
    <row r="84" customFormat="false" ht="12.8" hidden="false" customHeight="false" outlineLevel="0" collapsed="false">
      <c r="A84" s="1" t="s">
        <v>27</v>
      </c>
      <c r="B84" s="1" t="str">
        <f aca="false">B$4</f>
        <v>http://localhost:9999/v1</v>
      </c>
      <c r="C84" s="1" t="s">
        <v>28</v>
      </c>
      <c r="D84" s="2" t="n">
        <v>1</v>
      </c>
      <c r="E84" s="2" t="s">
        <v>29</v>
      </c>
      <c r="F84" s="13" t="n">
        <v>1</v>
      </c>
      <c r="G84" s="2" t="n">
        <v>4</v>
      </c>
      <c r="H84" s="1" t="n">
        <v>271828</v>
      </c>
      <c r="I84" s="1" t="str">
        <f aca="false">A84&amp;"_"&amp;C84&amp;"_"&amp;E84&amp;"_t-"&amp;F84&amp;"_b-"&amp;G84&amp;"_f-"&amp;D84&amp;"_s-"&amp;H84</f>
        <v>llamacpp_chat_medium_t-1_b-4_f-1_s-271828</v>
      </c>
      <c r="J84" s="1" t="s">
        <v>42</v>
      </c>
      <c r="K84" s="1" t="str">
        <f aca="false">"env OPENAI_API_KEY=sk-none OPENAI_BASE_URL="&amp;B84&amp;" BFCL_PROJECT_ROOT="&amp;$B$3&amp;I84&amp;" bfcl generate --model "&amp;$B$2&amp;C84&amp;IF(D84=1,"-FC","")&amp;" --test-category="&amp;J84&amp;" --temperature="&amp;TEXT(F84,"0.0000")&amp;" --num-threads="&amp;G84</f>
        <v>env OPENAI_API_KEY=sk-none OPENAI_BASE_URL=http://localhost:9999/v1 BFCL_PROJECT_ROOT=/home/p/Code/local/burrito-evals/data/bfcl_v4/llamacpp_chat_medium_t-1_b-4_f-1_s-271828 bfcl generate --model gpt-oss-20b-chat-FC --test-category=irrelevance,live_relevance,live_simple,multi_turn_base,simple_java,simple_javascript,simple_python --temperature=1.0000 --num-threads=4</v>
      </c>
      <c r="L84" s="1" t="str">
        <f aca="false">"env OPENAI_API_KEY=sk-none BFCL_PROJECT_ROOT="&amp;$B$3&amp;I84&amp;" bfcl evaluate --model "&amp;$B$2&amp;C84&amp;IF(D84=1,"-FC","")&amp;" --test-category="&amp;J84</f>
        <v>env OPENAI_API_KEY=sk-none BFCL_PROJECT_ROOT=/home/p/Code/local/burrito-evals/data/bfcl_v4/llamacpp_chat_medium_t-1_b-4_f-1_s-271828 bfcl evaluate --model gpt-oss-20b-chat-FC --test-category=irrelevance,live_relevance,live_simple,multi_turn_base,simple_java,simple_javascript,simple_python</v>
      </c>
      <c r="M84" s="1" t="s">
        <v>31</v>
      </c>
    </row>
    <row r="85" customFormat="false" ht="12.8" hidden="false" customHeight="false" outlineLevel="0" collapsed="false">
      <c r="A85" s="1" t="s">
        <v>27</v>
      </c>
      <c r="B85" s="1" t="str">
        <f aca="false">B$4</f>
        <v>http://localhost:9999/v1</v>
      </c>
      <c r="C85" s="1" t="s">
        <v>32</v>
      </c>
      <c r="D85" s="2" t="n">
        <v>1</v>
      </c>
      <c r="E85" s="2" t="s">
        <v>29</v>
      </c>
      <c r="F85" s="13" t="n">
        <v>1</v>
      </c>
      <c r="G85" s="2" t="n">
        <v>4</v>
      </c>
      <c r="H85" s="1" t="n">
        <f aca="false">H84</f>
        <v>271828</v>
      </c>
      <c r="I85" s="1" t="str">
        <f aca="false">A85&amp;"_"&amp;C85&amp;"_"&amp;E85&amp;"_t-"&amp;F85&amp;"_b-"&amp;G85&amp;"_f-"&amp;D85&amp;"_s-"&amp;H85</f>
        <v>llamacpp_responses_medium_t-1_b-4_f-1_s-271828</v>
      </c>
      <c r="J85" s="1" t="s">
        <v>42</v>
      </c>
      <c r="K85" s="1" t="str">
        <f aca="false">"env OPENAI_API_KEY=sk-none OPENAI_BASE_URL="&amp;B85&amp;" BFCL_PROJECT_ROOT="&amp;$B$3&amp;I85&amp;" bfcl generate --model "&amp;$B$2&amp;C85&amp;IF(D85=1,"-FC","")&amp;" --test-category="&amp;J85&amp;" --temperature="&amp;TEXT(F85,"0.0000")&amp;" --num-threads="&amp;G85</f>
        <v>env OPENAI_API_KEY=sk-none OPENAI_BASE_URL=http://localhost:9999/v1 BFCL_PROJECT_ROOT=/home/p/Code/local/burrito-evals/data/bfcl_v4/llamacpp_responses_medium_t-1_b-4_f-1_s-271828 bfcl generate --model gpt-oss-20b-responses-FC --test-category=irrelevance,live_relevance,live_simple,multi_turn_base,simple_java,simple_javascript,simple_python --temperature=1.0000 --num-threads=4</v>
      </c>
      <c r="L85" s="1" t="str">
        <f aca="false">"env OPENAI_API_KEY=sk-none BFCL_PROJECT_ROOT="&amp;$B$3&amp;I85&amp;" bfcl evaluate --model "&amp;$B$2&amp;C85&amp;IF(D85=1,"-FC","")&amp;" --test-category="&amp;J85</f>
        <v>env OPENAI_API_KEY=sk-none BFCL_PROJECT_ROOT=/home/p/Code/local/burrito-evals/data/bfcl_v4/llamacpp_responses_medium_t-1_b-4_f-1_s-271828 bfcl evaluate --model gpt-oss-20b-responses-FC --test-category=irrelevance,live_relevance,live_simple,multi_turn_base,simple_java,simple_javascript,simple_python</v>
      </c>
      <c r="M85" s="1" t="s">
        <v>31</v>
      </c>
    </row>
    <row r="86" customFormat="false" ht="12.8" hidden="false" customHeight="false" outlineLevel="0" collapsed="false">
      <c r="A86" s="1" t="s">
        <v>33</v>
      </c>
      <c r="B86" s="1" t="str">
        <f aca="false">B$6</f>
        <v>http://localhost:8888/v1</v>
      </c>
      <c r="C86" s="1" t="s">
        <v>28</v>
      </c>
      <c r="D86" s="2" t="n">
        <v>1</v>
      </c>
      <c r="E86" s="2" t="s">
        <v>29</v>
      </c>
      <c r="F86" s="13" t="n">
        <v>1</v>
      </c>
      <c r="G86" s="2" t="n">
        <v>4</v>
      </c>
      <c r="H86" s="1" t="n">
        <f aca="false">H85</f>
        <v>271828</v>
      </c>
      <c r="I86" s="1" t="str">
        <f aca="false">A86&amp;"_"&amp;C86&amp;"_"&amp;E86&amp;"_t-"&amp;F86&amp;"_b-"&amp;G86&amp;"_f-"&amp;D86&amp;"_s-"&amp;H86</f>
        <v>burrito@llamacpp_chat_medium_t-1_b-4_f-1_s-271828</v>
      </c>
      <c r="J86" s="1" t="s">
        <v>42</v>
      </c>
      <c r="K86" s="1" t="str">
        <f aca="false">"env OPENAI_API_KEY=sk-none OPENAI_BASE_URL="&amp;B86&amp;" BFCL_PROJECT_ROOT="&amp;$B$3&amp;I86&amp;" bfcl generate --model "&amp;$B$2&amp;C86&amp;IF(D86=1,"-FC","")&amp;" --test-category="&amp;J86&amp;" --temperature="&amp;TEXT(F86,"0.0000")&amp;" --num-threads="&amp;G86</f>
        <v>env OPENAI_API_KEY=sk-none OPENAI_BASE_URL=http://localhost:8888/v1 BFCL_PROJECT_ROOT=/home/p/Code/local/burrito-evals/data/bfcl_v4/burrito@llamacpp_chat_medium_t-1_b-4_f-1_s-271828 bfcl generate --model gpt-oss-20b-chat-FC --test-category=irrelevance,live_relevance,live_simple,multi_turn_base,simple_java,simple_javascript,simple_python --temperature=1.0000 --num-threads=4</v>
      </c>
      <c r="L86" s="1" t="str">
        <f aca="false">"env OPENAI_API_KEY=sk-none BFCL_PROJECT_ROOT="&amp;$B$3&amp;I86&amp;" bfcl evaluate --model "&amp;$B$2&amp;C86&amp;IF(D86=1,"-FC","")&amp;" --test-category="&amp;J86</f>
        <v>env OPENAI_API_KEY=sk-none BFCL_PROJECT_ROOT=/home/p/Code/local/burrito-evals/data/bfcl_v4/burrito@llamacpp_chat_medium_t-1_b-4_f-1_s-271828 bfcl evaluate --model gpt-oss-20b-chat-FC --test-category=irrelevance,live_relevance,live_simple,multi_turn_base,simple_java,simple_javascript,simple_python</v>
      </c>
      <c r="M86" s="1" t="s">
        <v>31</v>
      </c>
    </row>
    <row r="87" customFormat="false" ht="12.8" hidden="false" customHeight="false" outlineLevel="0" collapsed="false">
      <c r="A87" s="1" t="s">
        <v>33</v>
      </c>
      <c r="B87" s="1" t="str">
        <f aca="false">B$6</f>
        <v>http://localhost:8888/v1</v>
      </c>
      <c r="C87" s="1" t="s">
        <v>32</v>
      </c>
      <c r="D87" s="2" t="n">
        <v>1</v>
      </c>
      <c r="E87" s="2" t="s">
        <v>29</v>
      </c>
      <c r="F87" s="13" t="n">
        <v>1</v>
      </c>
      <c r="G87" s="2" t="n">
        <v>4</v>
      </c>
      <c r="H87" s="1" t="n">
        <f aca="false">H86</f>
        <v>271828</v>
      </c>
      <c r="I87" s="1" t="str">
        <f aca="false">A87&amp;"_"&amp;C87&amp;"_"&amp;E87&amp;"_t-"&amp;F87&amp;"_b-"&amp;G87&amp;"_f-"&amp;D87&amp;"_s-"&amp;H87</f>
        <v>burrito@llamacpp_responses_medium_t-1_b-4_f-1_s-271828</v>
      </c>
      <c r="J87" s="1" t="s">
        <v>42</v>
      </c>
      <c r="K87" s="1" t="str">
        <f aca="false">"env OPENAI_API_KEY=sk-none OPENAI_BASE_URL="&amp;B87&amp;" BFCL_PROJECT_ROOT="&amp;$B$3&amp;I87&amp;" bfcl generate --model "&amp;$B$2&amp;C87&amp;IF(D87=1,"-FC","")&amp;" --test-category="&amp;J87&amp;" --temperature="&amp;TEXT(F87,"0.0000")&amp;" --num-threads="&amp;G87</f>
        <v>env OPENAI_API_KEY=sk-none OPENAI_BASE_URL=http://localhost:8888/v1 BFCL_PROJECT_ROOT=/home/p/Code/local/burrito-evals/data/bfcl_v4/burrito@llamacpp_responses_medium_t-1_b-4_f-1_s-271828 bfcl generate --model gpt-oss-20b-responses-FC --test-category=irrelevance,live_relevance,live_simple,multi_turn_base,simple_java,simple_javascript,simple_python --temperature=1.0000 --num-threads=4</v>
      </c>
      <c r="L87" s="1" t="str">
        <f aca="false">"env OPENAI_API_KEY=sk-none BFCL_PROJECT_ROOT="&amp;$B$3&amp;I87&amp;" bfcl evaluate --model "&amp;$B$2&amp;C87&amp;IF(D87=1,"-FC","")&amp;" --test-category="&amp;J87</f>
        <v>env OPENAI_API_KEY=sk-none BFCL_PROJECT_ROOT=/home/p/Code/local/burrito-evals/data/bfcl_v4/burrito@llamacpp_responses_medium_t-1_b-4_f-1_s-271828 bfcl evaluate --model gpt-oss-20b-responses-FC --test-category=irrelevance,live_relevance,live_simple,multi_turn_base,simple_java,simple_javascript,simple_python</v>
      </c>
      <c r="M87" s="1" t="s">
        <v>31</v>
      </c>
    </row>
    <row r="88" customFormat="false" ht="12.8" hidden="false" customHeight="false" outlineLevel="0" collapsed="false">
      <c r="F88" s="13"/>
      <c r="K88" s="12" t="str">
        <f aca="false">K84&amp;" &amp;&amp; "&amp;K85&amp;" &amp;&amp; "&amp;K86&amp;" &amp;&amp; "&amp;K87</f>
        <v>env OPENAI_API_KEY=sk-none OPENAI_BASE_URL=http://localhost:9999/v1 BFCL_PROJECT_ROOT=/home/p/Code/local/burrito-evals/data/bfcl_v4/llamacpp_chat_medium_t-1_b-4_f-1_s-271828 bfcl generate --model gpt-oss-20b-chat-FC --test-category=irrelevance,live_relevance,live_simple,multi_turn_base,simple_java,simple_javascript,simple_python --temperature=1.0000 --num-threads=4 &amp;&amp; env OPENAI_API_KEY=sk-none OPENAI_BASE_URL=http://localhost:9999/v1 BFCL_PROJECT_ROOT=/home/p/Code/local/burrito-evals/data/bfcl_v4/llamacpp_responses_medium_t-1_b-4_f-1_s-271828 bfcl generate --model gpt-oss-20b-responses-FC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BFCL_PROJECT_ROOT=/home/p/Code/local/burrito-evals/data/bfcl_v4/burrito@llamacpp_chat_medium_t-1_b-4_f-1_s-271828 bfcl generate --model gpt-oss-20b-chat-FC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BFCL_PROJECT_ROOT=/home/p/Code/local/burrito-evals/data/bfcl_v4/burrito@llamacpp_responses_medium_t-1_b-4_f-1_s-271828 bfcl generate --model gpt-oss-20b-responses-FC --test-category=irrelevance,live_relevance,live_simple,multi_turn_base,simple_java,simple_javascript,simple_python --temperature=1.0000 --num-threads=4</v>
      </c>
      <c r="L88" s="12" t="str">
        <f aca="false">L84&amp;" &amp;&amp; "&amp;L85&amp;" &amp;&amp; "&amp;L86&amp;" &amp;&amp; "&amp;L87</f>
        <v>env OPENAI_API_KEY=sk-none BFCL_PROJECT_ROOT=/home/p/Code/local/burrito-evals/data/bfcl_v4/llamacpp_chat_medium_t-1_b-4_f-1_s-271828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BFCL_PROJECT_ROOT=/home/p/Code/local/burrito-evals/data/bfcl_v4/llamacpp_responses_medium_t-1_b-4_f-1_s-271828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BFCL_PROJECT_ROOT=/home/p/Code/local/burrito-evals/data/bfcl_v4/burrito@llamacpp_chat_medium_t-1_b-4_f-1_s-271828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BFCL_PROJECT_ROOT=/home/p/Code/local/burrito-evals/data/bfcl_v4/burrito@llamacpp_responses_medium_t-1_b-4_f-1_s-271828 bfcl evaluate --model gpt-oss-20b-responses-FC --test-category=irrelevance,live_relevance,live_simple,multi_turn_base,simple_java,simple_javascript,simple_python</v>
      </c>
      <c r="M88" s="1" t="s">
        <v>31</v>
      </c>
    </row>
    <row r="89" customFormat="false" ht="12.8" hidden="false" customHeight="false" outlineLevel="0" collapsed="false">
      <c r="A89" s="11" t="s">
        <v>27</v>
      </c>
      <c r="F89" s="13"/>
      <c r="K89" s="12"/>
      <c r="L89" s="12"/>
      <c r="M89" s="1" t="s">
        <v>31</v>
      </c>
    </row>
    <row r="90" customFormat="false" ht="12.8" hidden="false" customHeight="false" outlineLevel="0" collapsed="false">
      <c r="A90" s="1" t="s">
        <v>27</v>
      </c>
      <c r="B90" s="1" t="str">
        <f aca="false">B$4</f>
        <v>http://localhost:9999/v1</v>
      </c>
      <c r="C90" s="1" t="s">
        <v>28</v>
      </c>
      <c r="D90" s="2" t="n">
        <v>1</v>
      </c>
      <c r="E90" s="2" t="s">
        <v>29</v>
      </c>
      <c r="F90" s="13" t="n">
        <v>1</v>
      </c>
      <c r="G90" s="2" t="n">
        <v>4</v>
      </c>
      <c r="H90" s="1" t="n">
        <v>1337</v>
      </c>
      <c r="I90" s="1" t="str">
        <f aca="false">A90&amp;"_"&amp;C90&amp;"_"&amp;E90&amp;"_t-"&amp;F90&amp;"_b-"&amp;G90&amp;"_f-"&amp;D90&amp;"_s-"&amp;H90</f>
        <v>llamacpp_chat_medium_t-1_b-4_f-1_s-1337</v>
      </c>
      <c r="J90" s="1" t="s">
        <v>42</v>
      </c>
      <c r="K90" s="1" t="str">
        <f aca="false">"env OPENAI_API_KEY=sk-none OPENAI_BASE_URL="&amp;B90&amp;" BFCL_PROJECT_ROOT="&amp;$B$3&amp;I90&amp;" bfcl generate --model "&amp;$B$2&amp;C90&amp;IF(D90=1,"-FC","")&amp;" --test-category="&amp;J90&amp;" --temperature="&amp;TEXT(F90,"0.0000")&amp;" --num-threads="&amp;G90</f>
        <v>env OPENAI_API_KEY=sk-none OPENAI_BASE_URL=http://localhost:9999/v1 BFCL_PROJECT_ROOT=/home/p/Code/local/burrito-evals/data/bfcl_v4/llamacpp_chat_medium_t-1_b-4_f-1_s-1337 bfcl generate --model gpt-oss-20b-chat-FC --test-category=irrelevance,live_relevance,live_simple,multi_turn_base,simple_java,simple_javascript,simple_python --temperature=1.0000 --num-threads=4</v>
      </c>
      <c r="L90" s="1" t="str">
        <f aca="false">"env OPENAI_API_KEY=sk-none BFCL_PROJECT_ROOT="&amp;$B$3&amp;I90&amp;" bfcl evaluate --model "&amp;$B$2&amp;C90&amp;IF(D90=1,"-FC","")&amp;" --test-category="&amp;J90</f>
        <v>env OPENAI_API_KEY=sk-none BFCL_PROJECT_ROOT=/home/p/Code/local/burrito-evals/data/bfcl_v4/llamacpp_chat_medium_t-1_b-4_f-1_s-1337 bfcl evaluate --model gpt-oss-20b-chat-FC --test-category=irrelevance,live_relevance,live_simple,multi_turn_base,simple_java,simple_javascript,simple_python</v>
      </c>
      <c r="M90" s="1" t="s">
        <v>31</v>
      </c>
    </row>
    <row r="91" customFormat="false" ht="12.8" hidden="false" customHeight="false" outlineLevel="0" collapsed="false">
      <c r="A91" s="1" t="s">
        <v>27</v>
      </c>
      <c r="B91" s="1" t="str">
        <f aca="false">B$4</f>
        <v>http://localhost:9999/v1</v>
      </c>
      <c r="C91" s="1" t="s">
        <v>32</v>
      </c>
      <c r="D91" s="2" t="n">
        <v>1</v>
      </c>
      <c r="E91" s="2" t="s">
        <v>29</v>
      </c>
      <c r="F91" s="13" t="n">
        <v>1</v>
      </c>
      <c r="G91" s="2" t="n">
        <v>4</v>
      </c>
      <c r="H91" s="1" t="n">
        <f aca="false">H90</f>
        <v>1337</v>
      </c>
      <c r="I91" s="1" t="str">
        <f aca="false">A91&amp;"_"&amp;C91&amp;"_"&amp;E91&amp;"_t-"&amp;F91&amp;"_b-"&amp;G91&amp;"_f-"&amp;D91&amp;"_s-"&amp;H91</f>
        <v>llamacpp_responses_medium_t-1_b-4_f-1_s-1337</v>
      </c>
      <c r="J91" s="1" t="s">
        <v>42</v>
      </c>
      <c r="K91" s="1" t="str">
        <f aca="false">"env OPENAI_API_KEY=sk-none OPENAI_BASE_URL="&amp;B91&amp;" BFCL_PROJECT_ROOT="&amp;$B$3&amp;I91&amp;" bfcl generate --model "&amp;$B$2&amp;C91&amp;IF(D91=1,"-FC","")&amp;" --test-category="&amp;J91&amp;" --temperature="&amp;TEXT(F91,"0.0000")&amp;" --num-threads="&amp;G91</f>
        <v>env OPENAI_API_KEY=sk-none OPENAI_BASE_URL=http://localhost:9999/v1 BFCL_PROJECT_ROOT=/home/p/Code/local/burrito-evals/data/bfcl_v4/llamacpp_responses_medium_t-1_b-4_f-1_s-1337 bfcl generate --model gpt-oss-20b-responses-FC --test-category=irrelevance,live_relevance,live_simple,multi_turn_base,simple_java,simple_javascript,simple_python --temperature=1.0000 --num-threads=4</v>
      </c>
      <c r="L91" s="1" t="str">
        <f aca="false">"env OPENAI_API_KEY=sk-none BFCL_PROJECT_ROOT="&amp;$B$3&amp;I91&amp;" bfcl evaluate --model "&amp;$B$2&amp;C91&amp;IF(D91=1,"-FC","")&amp;" --test-category="&amp;J91</f>
        <v>env OPENAI_API_KEY=sk-none BFCL_PROJECT_ROOT=/home/p/Code/local/burrito-evals/data/bfcl_v4/llamacpp_responses_medium_t-1_b-4_f-1_s-1337 bfcl evaluate --model gpt-oss-20b-responses-FC --test-category=irrelevance,live_relevance,live_simple,multi_turn_base,simple_java,simple_javascript,simple_python</v>
      </c>
      <c r="M91" s="1" t="s">
        <v>31</v>
      </c>
    </row>
    <row r="92" customFormat="false" ht="12.8" hidden="false" customHeight="false" outlineLevel="0" collapsed="false">
      <c r="A92" s="1" t="s">
        <v>33</v>
      </c>
      <c r="B92" s="1" t="str">
        <f aca="false">B$6</f>
        <v>http://localhost:8888/v1</v>
      </c>
      <c r="C92" s="1" t="s">
        <v>28</v>
      </c>
      <c r="D92" s="2" t="n">
        <v>1</v>
      </c>
      <c r="E92" s="2" t="s">
        <v>29</v>
      </c>
      <c r="F92" s="13" t="n">
        <v>1</v>
      </c>
      <c r="G92" s="2" t="n">
        <v>4</v>
      </c>
      <c r="H92" s="1" t="n">
        <f aca="false">H91</f>
        <v>1337</v>
      </c>
      <c r="I92" s="1" t="str">
        <f aca="false">A92&amp;"_"&amp;C92&amp;"_"&amp;E92&amp;"_t-"&amp;F92&amp;"_b-"&amp;G92&amp;"_f-"&amp;D92&amp;"_s-"&amp;H92</f>
        <v>burrito@llamacpp_chat_medium_t-1_b-4_f-1_s-1337</v>
      </c>
      <c r="J92" s="1" t="s">
        <v>42</v>
      </c>
      <c r="K92" s="1" t="str">
        <f aca="false">"env OPENAI_API_KEY=sk-none OPENAI_BASE_URL="&amp;B92&amp;" BFCL_PROJECT_ROOT="&amp;$B$3&amp;I92&amp;" bfcl generate --model "&amp;$B$2&amp;C92&amp;IF(D92=1,"-FC","")&amp;" --test-category="&amp;J92&amp;" --temperature="&amp;TEXT(F92,"0.0000")&amp;" --num-threads="&amp;G92</f>
        <v>env OPENAI_API_KEY=sk-none OPENAI_BASE_URL=http://localhost:8888/v1 BFCL_PROJECT_ROOT=/home/p/Code/local/burrito-evals/data/bfcl_v4/burrito@llamacpp_chat_medium_t-1_b-4_f-1_s-1337 bfcl generate --model gpt-oss-20b-chat-FC --test-category=irrelevance,live_relevance,live_simple,multi_turn_base,simple_java,simple_javascript,simple_python --temperature=1.0000 --num-threads=4</v>
      </c>
      <c r="L92" s="1" t="str">
        <f aca="false">"env OPENAI_API_KEY=sk-none BFCL_PROJECT_ROOT="&amp;$B$3&amp;I92&amp;" bfcl evaluate --model "&amp;$B$2&amp;C92&amp;IF(D92=1,"-FC","")&amp;" --test-category="&amp;J92</f>
        <v>env OPENAI_API_KEY=sk-none BFCL_PROJECT_ROOT=/home/p/Code/local/burrito-evals/data/bfcl_v4/burrito@llamacpp_chat_medium_t-1_b-4_f-1_s-1337 bfcl evaluate --model gpt-oss-20b-chat-FC --test-category=irrelevance,live_relevance,live_simple,multi_turn_base,simple_java,simple_javascript,simple_python</v>
      </c>
      <c r="M92" s="1" t="s">
        <v>31</v>
      </c>
    </row>
    <row r="93" customFormat="false" ht="12.8" hidden="false" customHeight="false" outlineLevel="0" collapsed="false">
      <c r="A93" s="1" t="s">
        <v>33</v>
      </c>
      <c r="B93" s="1" t="str">
        <f aca="false">B$6</f>
        <v>http://localhost:8888/v1</v>
      </c>
      <c r="C93" s="1" t="s">
        <v>32</v>
      </c>
      <c r="D93" s="2" t="n">
        <v>1</v>
      </c>
      <c r="E93" s="2" t="s">
        <v>29</v>
      </c>
      <c r="F93" s="13" t="n">
        <v>1</v>
      </c>
      <c r="G93" s="2" t="n">
        <v>4</v>
      </c>
      <c r="H93" s="1" t="n">
        <f aca="false">H92</f>
        <v>1337</v>
      </c>
      <c r="I93" s="1" t="str">
        <f aca="false">A93&amp;"_"&amp;C93&amp;"_"&amp;E93&amp;"_t-"&amp;F93&amp;"_b-"&amp;G93&amp;"_f-"&amp;D93&amp;"_s-"&amp;H93</f>
        <v>burrito@llamacpp_responses_medium_t-1_b-4_f-1_s-1337</v>
      </c>
      <c r="J93" s="1" t="s">
        <v>42</v>
      </c>
      <c r="K93" s="1" t="str">
        <f aca="false">"env OPENAI_API_KEY=sk-none OPENAI_BASE_URL="&amp;B93&amp;" BFCL_PROJECT_ROOT="&amp;$B$3&amp;I93&amp;" bfcl generate --model "&amp;$B$2&amp;C93&amp;IF(D93=1,"-FC","")&amp;" --test-category="&amp;J93&amp;" --temperature="&amp;TEXT(F93,"0.0000")&amp;" --num-threads="&amp;G93</f>
        <v>env OPENAI_API_KEY=sk-none OPENAI_BASE_URL=http://localhost:8888/v1 BFCL_PROJECT_ROOT=/home/p/Code/local/burrito-evals/data/bfcl_v4/burrito@llamacpp_responses_medium_t-1_b-4_f-1_s-1337 bfcl generate --model gpt-oss-20b-responses-FC --test-category=irrelevance,live_relevance,live_simple,multi_turn_base,simple_java,simple_javascript,simple_python --temperature=1.0000 --num-threads=4</v>
      </c>
      <c r="L93" s="1" t="str">
        <f aca="false">"env OPENAI_API_KEY=sk-none BFCL_PROJECT_ROOT="&amp;$B$3&amp;I93&amp;" bfcl evaluate --model "&amp;$B$2&amp;C93&amp;IF(D93=1,"-FC","")&amp;" --test-category="&amp;J93</f>
        <v>env OPENAI_API_KEY=sk-none BFCL_PROJECT_ROOT=/home/p/Code/local/burrito-evals/data/bfcl_v4/burrito@llamacpp_responses_medium_t-1_b-4_f-1_s-1337 bfcl evaluate --model gpt-oss-20b-responses-FC --test-category=irrelevance,live_relevance,live_simple,multi_turn_base,simple_java,simple_javascript,simple_python</v>
      </c>
      <c r="M93" s="1" t="s">
        <v>31</v>
      </c>
    </row>
    <row r="94" customFormat="false" ht="12.8" hidden="false" customHeight="false" outlineLevel="0" collapsed="false">
      <c r="F94" s="13"/>
      <c r="K94" s="12" t="str">
        <f aca="false">K90&amp;" &amp;&amp; "&amp;K91&amp;" &amp;&amp; "&amp;K92&amp;" &amp;&amp; "&amp;K93</f>
        <v>env OPENAI_API_KEY=sk-none OPENAI_BASE_URL=http://localhost:9999/v1 BFCL_PROJECT_ROOT=/home/p/Code/local/burrito-evals/data/bfcl_v4/llamacpp_chat_medium_t-1_b-4_f-1_s-1337 bfcl generate --model gpt-oss-20b-chat-FC --test-category=irrelevance,live_relevance,live_simple,multi_turn_base,simple_java,simple_javascript,simple_python --temperature=1.0000 --num-threads=4 &amp;&amp; env OPENAI_API_KEY=sk-none OPENAI_BASE_URL=http://localhost:9999/v1 BFCL_PROJECT_ROOT=/home/p/Code/local/burrito-evals/data/bfcl_v4/llamacpp_responses_medium_t-1_b-4_f-1_s-1337 bfcl generate --model gpt-oss-20b-responses-FC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BFCL_PROJECT_ROOT=/home/p/Code/local/burrito-evals/data/bfcl_v4/burrito@llamacpp_chat_medium_t-1_b-4_f-1_s-1337 bfcl generate --model gpt-oss-20b-chat-FC --test-category=irrelevance,live_relevance,live_simple,multi_turn_base,simple_java,simple_javascript,simple_python --temperature=1.0000 --num-threads=4 &amp;&amp; env OPENAI_API_KEY=sk-none OPENAI_BASE_URL=http://localhost:8888/v1 BFCL_PROJECT_ROOT=/home/p/Code/local/burrito-evals/data/bfcl_v4/burrito@llamacpp_responses_medium_t-1_b-4_f-1_s-1337 bfcl generate --model gpt-oss-20b-responses-FC --test-category=irrelevance,live_relevance,live_simple,multi_turn_base,simple_java,simple_javascript,simple_python --temperature=1.0000 --num-threads=4</v>
      </c>
      <c r="L94" s="12" t="str">
        <f aca="false">L90&amp;" &amp;&amp; "&amp;L91&amp;" &amp;&amp; "&amp;L92&amp;" &amp;&amp; "&amp;L93</f>
        <v>env OPENAI_API_KEY=sk-none BFCL_PROJECT_ROOT=/home/p/Code/local/burrito-evals/data/bfcl_v4/llamacpp_chat_medium_t-1_b-4_f-1_s-1337 bfcl evaluate --model gpt-oss-20b-chat-FC --test-category=irrelevance,live_relevance,live_simple,multi_turn_base,simple_java,simple_javascript,simple_python &amp;&amp; env OPENAI_API_KEY=sk-none BFCL_PROJECT_ROOT=/home/p/Code/local/burrito-evals/data/bfcl_v4/llamacpp_responses_medium_t-1_b-4_f-1_s-1337 bfcl evaluate --model gpt-oss-20b-responses-FC --test-category=irrelevance,live_relevance,live_simple,multi_turn_base,simple_java,simple_javascript,simple_python &amp;&amp; env OPENAI_API_KEY=sk-none BFCL_PROJECT_ROOT=/home/p/Code/local/burrito-evals/data/bfcl_v4/burrito@llamacpp_chat_medium_t-1_b-4_f-1_s-1337 bfcl evaluate --model gpt-oss-20b-chat-FC --test-category=irrelevance,live_relevance,live_simple,multi_turn_base,simple_java,simple_javascript,simple_python &amp;&amp; env OPENAI_API_KEY=sk-none BFCL_PROJECT_ROOT=/home/p/Code/local/burrito-evals/data/bfcl_v4/burrito@llamacpp_responses_medium_t-1_b-4_f-1_s-1337 bfcl evaluate --model gpt-oss-20b-responses-FC --test-category=irrelevance,live_relevance,live_simple,multi_turn_base,simple_java,simple_javascript,simple_python</v>
      </c>
      <c r="M94" s="1" t="s">
        <v>31</v>
      </c>
    </row>
    <row r="95" customFormat="false" ht="12.8" hidden="false" customHeight="false" outlineLevel="0" collapsed="false">
      <c r="F95" s="13"/>
      <c r="K95" s="12"/>
      <c r="L95" s="12"/>
    </row>
    <row r="96" customFormat="false" ht="12.8" hidden="false" customHeight="false" outlineLevel="0" collapsed="false">
      <c r="F96" s="13"/>
      <c r="K96" s="12"/>
      <c r="L96" s="12"/>
    </row>
    <row r="97" customFormat="false" ht="12.8" hidden="false" customHeight="false" outlineLevel="0" collapsed="false">
      <c r="F97" s="13"/>
      <c r="K97" s="12"/>
      <c r="L97" s="12"/>
    </row>
    <row r="98" customFormat="false" ht="12.8" hidden="false" customHeight="false" outlineLevel="0" collapsed="false">
      <c r="F98" s="13"/>
      <c r="K98" s="12"/>
      <c r="L98" s="12"/>
    </row>
    <row r="99" customFormat="false" ht="12.8" hidden="false" customHeight="false" outlineLevel="0" collapsed="false">
      <c r="F99" s="13"/>
      <c r="K99" s="12"/>
      <c r="L99" s="12"/>
    </row>
    <row r="100" customFormat="false" ht="12.8" hidden="false" customHeight="false" outlineLevel="0" collapsed="false">
      <c r="F100" s="13"/>
      <c r="K100" s="12"/>
      <c r="L100" s="12"/>
    </row>
    <row r="101" customFormat="false" ht="12.8" hidden="false" customHeight="false" outlineLevel="0" collapsed="false">
      <c r="F101" s="13"/>
      <c r="K101" s="12"/>
      <c r="L101" s="12"/>
    </row>
    <row r="102" customFormat="false" ht="12.8" hidden="false" customHeight="false" outlineLevel="0" collapsed="false">
      <c r="F102" s="13"/>
      <c r="K102" s="12"/>
      <c r="L102" s="12"/>
    </row>
    <row r="103" customFormat="false" ht="12.8" hidden="false" customHeight="false" outlineLevel="0" collapsed="false">
      <c r="F103" s="13"/>
      <c r="K103" s="12"/>
      <c r="L103" s="12"/>
    </row>
    <row r="104" customFormat="false" ht="12.8" hidden="false" customHeight="false" outlineLevel="0" collapsed="false">
      <c r="F104" s="13"/>
      <c r="K104" s="12"/>
      <c r="L104" s="12"/>
    </row>
    <row r="105" customFormat="false" ht="12.8" hidden="false" customHeight="false" outlineLevel="0" collapsed="false">
      <c r="F105" s="13"/>
      <c r="K105" s="12"/>
      <c r="L105" s="12"/>
    </row>
    <row r="106" customFormat="false" ht="12.8" hidden="false" customHeight="false" outlineLevel="0" collapsed="false">
      <c r="F106" s="13"/>
      <c r="K106" s="12"/>
      <c r="L106" s="12"/>
    </row>
    <row r="107" customFormat="false" ht="12.8" hidden="false" customHeight="false" outlineLevel="0" collapsed="false">
      <c r="F107" s="13"/>
      <c r="K107" s="12"/>
      <c r="L107" s="12"/>
    </row>
    <row r="108" customFormat="false" ht="12.8" hidden="false" customHeight="false" outlineLevel="0" collapsed="false">
      <c r="F108" s="13"/>
      <c r="K108" s="12"/>
      <c r="L108" s="12"/>
    </row>
    <row r="109" customFormat="false" ht="12.8" hidden="false" customHeight="false" outlineLevel="0" collapsed="false">
      <c r="F109" s="13"/>
      <c r="K109" s="12"/>
      <c r="L109" s="12"/>
    </row>
    <row r="110" customFormat="false" ht="12.8" hidden="false" customHeight="false" outlineLevel="0" collapsed="false">
      <c r="F110" s="13"/>
      <c r="K110" s="12"/>
      <c r="L110" s="12"/>
    </row>
    <row r="111" customFormat="false" ht="12.8" hidden="false" customHeight="false" outlineLevel="0" collapsed="false">
      <c r="F111" s="13"/>
      <c r="K111" s="12"/>
      <c r="L111" s="12"/>
    </row>
    <row r="112" customFormat="false" ht="12.8" hidden="false" customHeight="false" outlineLevel="0" collapsed="false">
      <c r="F112" s="13"/>
      <c r="K112" s="12"/>
      <c r="L112" s="12"/>
    </row>
    <row r="113" customFormat="false" ht="12.8" hidden="false" customHeight="false" outlineLevel="0" collapsed="false">
      <c r="F113" s="13"/>
      <c r="K113" s="12"/>
      <c r="L113" s="12"/>
    </row>
    <row r="114" customFormat="false" ht="12.8" hidden="false" customHeight="false" outlineLevel="0" collapsed="false">
      <c r="F114" s="13"/>
      <c r="K114" s="12"/>
      <c r="L114" s="12"/>
    </row>
    <row r="115" customFormat="false" ht="12.8" hidden="false" customHeight="false" outlineLevel="0" collapsed="false">
      <c r="F115" s="13"/>
      <c r="K115" s="12"/>
      <c r="L115" s="12"/>
    </row>
    <row r="116" customFormat="false" ht="12.8" hidden="false" customHeight="false" outlineLevel="0" collapsed="false">
      <c r="F116" s="13"/>
      <c r="K116" s="12"/>
      <c r="L116" s="12"/>
    </row>
    <row r="117" customFormat="false" ht="12.8" hidden="false" customHeight="false" outlineLevel="0" collapsed="false">
      <c r="F117" s="13"/>
      <c r="K117" s="12"/>
      <c r="L117" s="12"/>
    </row>
    <row r="118" customFormat="false" ht="12.8" hidden="false" customHeight="false" outlineLevel="0" collapsed="false">
      <c r="F118" s="13"/>
      <c r="K118" s="12"/>
      <c r="L118" s="12"/>
    </row>
    <row r="119" customFormat="false" ht="12.8" hidden="false" customHeight="false" outlineLevel="0" collapsed="false">
      <c r="F119" s="13"/>
      <c r="K119" s="12"/>
      <c r="L119" s="12"/>
    </row>
    <row r="120" customFormat="false" ht="12.8" hidden="false" customHeight="false" outlineLevel="0" collapsed="false">
      <c r="F120" s="13"/>
      <c r="K120" s="12"/>
      <c r="L120" s="12"/>
    </row>
    <row r="121" customFormat="false" ht="12.8" hidden="false" customHeight="false" outlineLevel="0" collapsed="false">
      <c r="F121" s="13"/>
      <c r="K121" s="12"/>
      <c r="L121" s="12"/>
    </row>
    <row r="122" customFormat="false" ht="12.8" hidden="false" customHeight="false" outlineLevel="0" collapsed="false">
      <c r="F122" s="13"/>
      <c r="K122" s="12"/>
      <c r="L122" s="12"/>
    </row>
    <row r="123" customFormat="false" ht="12.8" hidden="false" customHeight="false" outlineLevel="0" collapsed="false">
      <c r="F123" s="13"/>
      <c r="K123" s="12"/>
      <c r="L123" s="12"/>
    </row>
    <row r="124" customFormat="false" ht="12.8" hidden="false" customHeight="false" outlineLevel="0" collapsed="false">
      <c r="F124" s="13"/>
      <c r="K124" s="12"/>
      <c r="L124" s="12"/>
    </row>
    <row r="125" customFormat="false" ht="12.8" hidden="false" customHeight="false" outlineLevel="0" collapsed="false">
      <c r="F125" s="13"/>
      <c r="K125" s="12"/>
      <c r="L125" s="12"/>
    </row>
    <row r="126" customFormat="false" ht="12.8" hidden="false" customHeight="false" outlineLevel="0" collapsed="false">
      <c r="F126" s="13"/>
      <c r="K126" s="12"/>
      <c r="L126" s="12"/>
    </row>
    <row r="127" customFormat="false" ht="12.8" hidden="false" customHeight="false" outlineLevel="0" collapsed="false">
      <c r="F127" s="13"/>
      <c r="K127" s="12"/>
      <c r="L127" s="12"/>
    </row>
    <row r="128" customFormat="false" ht="12.8" hidden="false" customHeight="false" outlineLevel="0" collapsed="false">
      <c r="F128" s="13"/>
      <c r="K128" s="12"/>
      <c r="L128" s="12"/>
    </row>
    <row r="129" customFormat="false" ht="12.8" hidden="false" customHeight="false" outlineLevel="0" collapsed="false">
      <c r="F129" s="13"/>
      <c r="K129" s="12"/>
      <c r="L129" s="12"/>
    </row>
    <row r="130" customFormat="false" ht="12.8" hidden="false" customHeight="false" outlineLevel="0" collapsed="false">
      <c r="F130" s="13"/>
      <c r="K130" s="12"/>
      <c r="L130" s="12"/>
    </row>
    <row r="131" customFormat="false" ht="12.8" hidden="false" customHeight="false" outlineLevel="0" collapsed="false">
      <c r="F131" s="13"/>
      <c r="K131" s="12"/>
      <c r="L131" s="12"/>
    </row>
    <row r="132" customFormat="false" ht="12.8" hidden="false" customHeight="false" outlineLevel="0" collapsed="false">
      <c r="F132" s="13"/>
      <c r="K132" s="12"/>
      <c r="L132" s="12"/>
    </row>
    <row r="133" customFormat="false" ht="12.8" hidden="false" customHeight="false" outlineLevel="0" collapsed="false">
      <c r="A133" s="11" t="s">
        <v>35</v>
      </c>
      <c r="F133" s="13"/>
      <c r="K133" s="12"/>
      <c r="L133" s="12"/>
    </row>
    <row r="134" customFormat="false" ht="12.8" hidden="false" customHeight="false" outlineLevel="0" collapsed="false">
      <c r="A134" s="1" t="s">
        <v>35</v>
      </c>
      <c r="B134" s="1" t="str">
        <f aca="false">B$5</f>
        <v>http://localhost:9999/v1</v>
      </c>
      <c r="C134" s="1" t="s">
        <v>28</v>
      </c>
      <c r="D134" s="2" t="n">
        <v>1</v>
      </c>
      <c r="E134" s="2" t="s">
        <v>29</v>
      </c>
      <c r="F134" s="13" t="n">
        <v>1</v>
      </c>
      <c r="G134" s="2" t="n">
        <v>4</v>
      </c>
      <c r="H134" s="1" t="n">
        <v>1337</v>
      </c>
      <c r="I134" s="1" t="str">
        <f aca="false">A134&amp;"_"&amp;C134&amp;"_"&amp;E134&amp;"_t-"&amp;F134&amp;"_b-"&amp;G134&amp;"_f-"&amp;D134&amp;"_s-"&amp;H134</f>
        <v>vllm_chat_medium_t-1_b-4_f-1_s-1337</v>
      </c>
      <c r="J134" s="1" t="s">
        <v>44</v>
      </c>
      <c r="K134" s="1" t="str">
        <f aca="false">"env OPENAI_API_KEY=sk-none OPENAI_BASE_URL="&amp;B134&amp;" BFCL_PROJECT_ROOT="&amp;$B$3&amp;I134&amp;" bfcl generate --model "&amp;$B$2&amp;C134&amp;IF(D134=1,"-FC","")&amp;" --test-category="&amp;J134&amp;" --temperature="&amp;TEXT(F134,"0.0000")&amp;" --num-threads="&amp;G134</f>
        <v>env OPENAI_API_KEY=sk-none OPENAI_BASE_URL=http://localhost:9999/v1 BFCL_PROJECT_ROOT=/home/p/Code/local/burrito-evals/data/bfcl_v4/vllm_chat_medium_t-1_b-4_f-1_s-1337 bfcl generate --model gpt-oss-20b-chat-FC --test-category=simple_javascript,simple_java,simple_python,irrelevance,live_relevance,multi_turn_base --temperature=1.0000 --num-threads=4</v>
      </c>
      <c r="L134" s="1" t="str">
        <f aca="false">"env OPENAI_API_KEY=sk-none BFCL_PROJECT_ROOT="&amp;$B$3&amp;I134&amp;" bfcl evaluate --model "&amp;$B$2&amp;C134&amp;IF(D134=1,"-FC","")&amp;" --test-category="&amp;J134</f>
        <v>env OPENAI_API_KEY=sk-none BFCL_PROJECT_ROOT=/home/p/Code/local/burrito-evals/data/bfcl_v4/vllm_chat_medium_t-1_b-4_f-1_s-1337 bfcl evaluate --model gpt-oss-20b-chat-FC --test-category=simple_javascript,simple_java,simple_python,irrelevance,live_relevance,multi_turn_base</v>
      </c>
      <c r="M134" s="1" t="s">
        <v>36</v>
      </c>
    </row>
    <row r="135" customFormat="false" ht="12.8" hidden="false" customHeight="false" outlineLevel="0" collapsed="false">
      <c r="A135" s="1" t="s">
        <v>35</v>
      </c>
      <c r="B135" s="1" t="str">
        <f aca="false">B$5</f>
        <v>http://localhost:9999/v1</v>
      </c>
      <c r="C135" s="1" t="s">
        <v>32</v>
      </c>
      <c r="D135" s="2" t="n">
        <v>1</v>
      </c>
      <c r="E135" s="2" t="s">
        <v>29</v>
      </c>
      <c r="F135" s="13" t="n">
        <v>1</v>
      </c>
      <c r="G135" s="2" t="n">
        <v>4</v>
      </c>
      <c r="H135" s="1" t="n">
        <v>1337</v>
      </c>
      <c r="I135" s="1" t="str">
        <f aca="false">A135&amp;"_"&amp;C135&amp;"_"&amp;E135&amp;"_t-"&amp;F135&amp;"_b-"&amp;G135&amp;"_f-"&amp;D135&amp;"_s-"&amp;H135</f>
        <v>vllm_responses_medium_t-1_b-4_f-1_s-1337</v>
      </c>
      <c r="J135" s="1" t="s">
        <v>44</v>
      </c>
      <c r="K135" s="1" t="str">
        <f aca="false">"env OPENAI_API_KEY=sk-none OPENAI_BASE_URL="&amp;B135&amp;" BFCL_PROJECT_ROOT="&amp;$B$3&amp;I135&amp;" bfcl generate --model "&amp;$B$2&amp;C135&amp;IF(D135=1,"-FC","")&amp;" --test-category="&amp;J135&amp;" --temperature="&amp;TEXT(F135,"0.0000")&amp;" --num-threads="&amp;G135</f>
        <v>env OPENAI_API_KEY=sk-none OPENAI_BASE_URL=http://localhost:9999/v1 BFCL_PROJECT_ROOT=/home/p/Code/local/burrito-evals/data/bfcl_v4/vllm_responses_medium_t-1_b-4_f-1_s-1337 bfcl generate --model gpt-oss-20b-responses-FC --test-category=simple_javascript,simple_java,simple_python,irrelevance,live_relevance,multi_turn_base --temperature=1.0000 --num-threads=4</v>
      </c>
      <c r="L135" s="1" t="str">
        <f aca="false">"env OPENAI_API_KEY=sk-none BFCL_PROJECT_ROOT="&amp;$B$3&amp;I135&amp;" bfcl evaluate --model "&amp;$B$2&amp;C135&amp;IF(D135=1,"-FC","")&amp;" --test-category="&amp;J135</f>
        <v>env OPENAI_API_KEY=sk-none BFCL_PROJECT_ROOT=/home/p/Code/local/burrito-evals/data/bfcl_v4/vllm_responses_medium_t-1_b-4_f-1_s-1337 bfcl evaluate --model gpt-oss-20b-responses-FC --test-category=simple_javascript,simple_java,simple_python,irrelevance,live_relevance,multi_turn_base</v>
      </c>
      <c r="M135" s="1" t="s">
        <v>36</v>
      </c>
    </row>
    <row r="136" customFormat="false" ht="12.8" hidden="false" customHeight="false" outlineLevel="0" collapsed="false">
      <c r="A136" s="1" t="s">
        <v>37</v>
      </c>
      <c r="B136" s="1" t="str">
        <f aca="false">B$6</f>
        <v>http://localhost:8888/v1</v>
      </c>
      <c r="C136" s="1" t="s">
        <v>28</v>
      </c>
      <c r="D136" s="2" t="n">
        <v>1</v>
      </c>
      <c r="E136" s="2" t="s">
        <v>29</v>
      </c>
      <c r="F136" s="13" t="n">
        <v>1</v>
      </c>
      <c r="G136" s="2" t="n">
        <v>4</v>
      </c>
      <c r="H136" s="1" t="n">
        <v>1337</v>
      </c>
      <c r="I136" s="1" t="str">
        <f aca="false">A136&amp;"_"&amp;C136&amp;"_"&amp;E136&amp;"_t-"&amp;F136&amp;"_b-"&amp;G136&amp;"_f-"&amp;D136&amp;"_s-"&amp;H136</f>
        <v>burrito@vllm_chat_medium_t-1_b-4_f-1_s-1337</v>
      </c>
      <c r="J136" s="1" t="s">
        <v>44</v>
      </c>
      <c r="K136" s="1" t="str">
        <f aca="false">"env OPENAI_API_KEY=sk-none OPENAI_BASE_URL="&amp;B136&amp;" BFCL_PROJECT_ROOT="&amp;$B$3&amp;I136&amp;" bfcl generate --model "&amp;$B$2&amp;C136&amp;IF(D136=1,"-FC","")&amp;" --test-category="&amp;J136&amp;" --temperature="&amp;TEXT(F136,"0.0000")&amp;" --num-threads="&amp;G136</f>
        <v>env OPENAI_API_KEY=sk-none OPENAI_BASE_URL=http://localhost:8888/v1 BFCL_PROJECT_ROOT=/home/p/Code/local/burrito-evals/data/bfcl_v4/burrito@vllm_chat_medium_t-1_b-4_f-1_s-1337 bfcl generate --model gpt-oss-20b-chat-FC --test-category=simple_javascript,simple_java,simple_python,irrelevance,live_relevance,multi_turn_base --temperature=1.0000 --num-threads=4</v>
      </c>
      <c r="L136" s="1" t="str">
        <f aca="false">"env OPENAI_API_KEY=sk-none BFCL_PROJECT_ROOT="&amp;$B$3&amp;I136&amp;" bfcl evaluate --model "&amp;$B$2&amp;C136&amp;IF(D136=1,"-FC","")&amp;" --test-category="&amp;J136</f>
        <v>env OPENAI_API_KEY=sk-none BFCL_PROJECT_ROOT=/home/p/Code/local/burrito-evals/data/bfcl_v4/burrito@vllm_chat_medium_t-1_b-4_f-1_s-1337 bfcl evaluate --model gpt-oss-20b-chat-FC --test-category=simple_javascript,simple_java,simple_python,irrelevance,live_relevance,multi_turn_base</v>
      </c>
      <c r="M136" s="1" t="s">
        <v>36</v>
      </c>
    </row>
    <row r="137" customFormat="false" ht="12.8" hidden="false" customHeight="false" outlineLevel="0" collapsed="false">
      <c r="A137" s="1" t="s">
        <v>37</v>
      </c>
      <c r="B137" s="1" t="str">
        <f aca="false">B$6</f>
        <v>http://localhost:8888/v1</v>
      </c>
      <c r="C137" s="1" t="s">
        <v>32</v>
      </c>
      <c r="D137" s="2" t="n">
        <v>1</v>
      </c>
      <c r="E137" s="2" t="s">
        <v>29</v>
      </c>
      <c r="F137" s="13" t="n">
        <v>1</v>
      </c>
      <c r="G137" s="2" t="n">
        <v>4</v>
      </c>
      <c r="H137" s="1" t="n">
        <v>1337</v>
      </c>
      <c r="I137" s="1" t="str">
        <f aca="false">A137&amp;"_"&amp;C137&amp;"_"&amp;E137&amp;"_t-"&amp;F137&amp;"_b-"&amp;G137&amp;"_f-"&amp;D137&amp;"_s-"&amp;H137</f>
        <v>burrito@vllm_responses_medium_t-1_b-4_f-1_s-1337</v>
      </c>
      <c r="J137" s="1" t="s">
        <v>44</v>
      </c>
      <c r="K137" s="1" t="str">
        <f aca="false">"env OPENAI_API_KEY=sk-none OPENAI_BASE_URL="&amp;B137&amp;" BFCL_PROJECT_ROOT="&amp;$B$3&amp;I137&amp;" bfcl generate --model "&amp;$B$2&amp;C137&amp;IF(D137=1,"-FC","")&amp;" --test-category="&amp;J137&amp;" --temperature="&amp;TEXT(F137,"0.0000")&amp;" --num-threads="&amp;G137</f>
        <v>env OPENAI_API_KEY=sk-none OPENAI_BASE_URL=http://localhost:8888/v1 BFCL_PROJECT_ROOT=/home/p/Code/local/burrito-evals/data/bfcl_v4/burrito@vllm_responses_medium_t-1_b-4_f-1_s-1337 bfcl generate --model gpt-oss-20b-responses-FC --test-category=simple_javascript,simple_java,simple_python,irrelevance,live_relevance,multi_turn_base --temperature=1.0000 --num-threads=4</v>
      </c>
      <c r="L137" s="1" t="str">
        <f aca="false">"env OPENAI_API_KEY=sk-none BFCL_PROJECT_ROOT="&amp;$B$3&amp;I137&amp;" bfcl evaluate --model "&amp;$B$2&amp;C137&amp;IF(D137=1,"-FC","")&amp;" --test-category="&amp;J137</f>
        <v>env OPENAI_API_KEY=sk-none BFCL_PROJECT_ROOT=/home/p/Code/local/burrito-evals/data/bfcl_v4/burrito@vllm_responses_medium_t-1_b-4_f-1_s-1337 bfcl evaluate --model gpt-oss-20b-responses-FC --test-category=simple_javascript,simple_java,simple_python,irrelevance,live_relevance,multi_turn_base</v>
      </c>
      <c r="M137" s="1" t="s">
        <v>36</v>
      </c>
    </row>
    <row r="138" customFormat="false" ht="12.8" hidden="false" customHeight="false" outlineLevel="0" collapsed="false">
      <c r="J138" s="12"/>
      <c r="K138" s="12" t="str">
        <f aca="false">K134&amp;" &amp;&amp; "&amp;K135&amp;" &amp;&amp; "&amp;K136&amp;" &amp;&amp; "&amp;K137</f>
        <v>env OPENAI_API_KEY=sk-none OPENAI_BASE_URL=http://localhost:9999/v1 BFCL_PROJECT_ROOT=/home/p/Code/local/burrito-evals/data/bfcl_v4/vllm_chat_medium_t-1_b-4_f-1_s-1337 bfcl generate --model gpt-oss-20b-chat-FC --test-category=simple_javascript,simple_java,simple_python,irrelevance,live_relevance,multi_turn_base --temperature=1.0000 --num-threads=4 &amp;&amp; env OPENAI_API_KEY=sk-none OPENAI_BASE_URL=http://localhost:9999/v1 BFCL_PROJECT_ROOT=/home/p/Code/local/burrito-evals/data/bfcl_v4/vllm_responses_medium_t-1_b-4_f-1_s-1337 bfcl generate --model gpt-oss-20b-responses-FC --test-category=simple_javascript,simple_java,simple_python,irrelevance,live_relevance,multi_turn_base --temperature=1.0000 --num-threads=4 &amp;&amp; env OPENAI_API_KEY=sk-none OPENAI_BASE_URL=http://localhost:8888/v1 BFCL_PROJECT_ROOT=/home/p/Code/local/burrito-evals/data/bfcl_v4/burrito@vllm_chat_medium_t-1_b-4_f-1_s-1337 bfcl generate --model gpt-oss-20b-chat-FC --test-category=simple_javascript,simple_java,simple_python,irrelevance,live_relevance,multi_turn_base --temperature=1.0000 --num-threads=4 &amp;&amp; env OPENAI_API_KEY=sk-none OPENAI_BASE_URL=http://localhost:8888/v1 BFCL_PROJECT_ROOT=/home/p/Code/local/burrito-evals/data/bfcl_v4/burrito@vllm_responses_medium_t-1_b-4_f-1_s-1337 bfcl generate --model gpt-oss-20b-responses-FC --test-category=simple_javascript,simple_java,simple_python,irrelevance,live_relevance,multi_turn_base --temperature=1.0000 --num-threads=4</v>
      </c>
      <c r="L138" s="12" t="str">
        <f aca="false">L134&amp;" &amp;&amp; "&amp;L135&amp;" &amp;&amp; "&amp;L136&amp;" &amp;&amp; "&amp;L137</f>
        <v>env OPENAI_API_KEY=sk-none BFCL_PROJECT_ROOT=/home/p/Code/local/burrito-evals/data/bfcl_v4/vllm_chat_medium_t-1_b-4_f-1_s-1337 bfcl evaluate --model gpt-oss-20b-chat-FC --test-category=simple_javascript,simple_java,simple_python,irrelevance,live_relevance,multi_turn_base &amp;&amp; env OPENAI_API_KEY=sk-none BFCL_PROJECT_ROOT=/home/p/Code/local/burrito-evals/data/bfcl_v4/vllm_responses_medium_t-1_b-4_f-1_s-1337 bfcl evaluate --model gpt-oss-20b-responses-FC --test-category=simple_javascript,simple_java,simple_python,irrelevance,live_relevance,multi_turn_base &amp;&amp; env OPENAI_API_KEY=sk-none BFCL_PROJECT_ROOT=/home/p/Code/local/burrito-evals/data/bfcl_v4/burrito@vllm_chat_medium_t-1_b-4_f-1_s-1337 bfcl evaluate --model gpt-oss-20b-chat-FC --test-category=simple_javascript,simple_java,simple_python,irrelevance,live_relevance,multi_turn_base &amp;&amp; env OPENAI_API_KEY=sk-none BFCL_PROJECT_ROOT=/home/p/Code/local/burrito-evals/data/bfcl_v4/burrito@vllm_responses_medium_t-1_b-4_f-1_s-1337 bfcl evaluate --model gpt-oss-20b-responses-FC --test-category=simple_javascript,simple_java,simple_python,irrelevance,live_relevance,multi_turn_base</v>
      </c>
      <c r="M138" s="1" t="s">
        <v>36</v>
      </c>
    </row>
  </sheetData>
  <conditionalFormatting sqref="D139:D1048576 D1:D42 D46">
    <cfRule type="colorScale" priority="2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43:D45">
    <cfRule type="colorScale" priority="3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95:D138 D47:D52 D60:D64 D72:D76 D84:D88">
    <cfRule type="colorScale" priority="4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53:D94">
    <cfRule type="colorScale" priority="5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hyperlinks>
    <hyperlink ref="A35" r:id="rId1" display="llamacpp@fixedjinja"/>
    <hyperlink ref="A36" r:id="rId2" display="llamacpp@fixedjinja"/>
    <hyperlink ref="A39" r:id="rId3" display="vllm@fixedjinja"/>
    <hyperlink ref="A40" r:id="rId4" display="vllm@fixedjinja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31" activeCellId="0" sqref="A31"/>
    </sheetView>
  </sheetViews>
  <sheetFormatPr defaultColWidth="11.53515625" defaultRowHeight="12.1" customHeight="true" zeroHeight="false" outlineLevelRow="0" outlineLevelCol="0"/>
  <cols>
    <col collapsed="false" customWidth="true" hidden="false" outlineLevel="0" max="1" min="1" style="1" width="21.31"/>
    <col collapsed="false" customWidth="true" hidden="false" outlineLevel="0" max="2" min="2" style="1" width="23.89"/>
    <col collapsed="false" customWidth="true" hidden="false" outlineLevel="0" max="3" min="3" style="1" width="10.33"/>
    <col collapsed="false" customWidth="true" hidden="false" outlineLevel="0" max="4" min="4" style="2" width="8.39"/>
    <col collapsed="false" customWidth="true" hidden="false" outlineLevel="0" max="5" min="5" style="2" width="7.42"/>
    <col collapsed="false" customWidth="true" hidden="false" outlineLevel="0" max="6" min="6" style="2" width="17.15"/>
    <col collapsed="false" customWidth="true" hidden="false" outlineLevel="0" max="7" min="7" style="17" width="12.28"/>
    <col collapsed="false" customWidth="true" hidden="false" outlineLevel="0" max="8" min="8" style="2" width="11.31"/>
    <col collapsed="false" customWidth="true" hidden="false" outlineLevel="0" max="9" min="9" style="1" width="9.36"/>
    <col collapsed="false" customWidth="true" hidden="false" outlineLevel="0" max="10" min="10" style="1" width="65.47"/>
    <col collapsed="false" customWidth="true" hidden="false" outlineLevel="0" max="11" min="11" style="1" width="9.36"/>
    <col collapsed="false" customWidth="true" hidden="false" outlineLevel="0" max="12" min="12" style="1" width="12.28"/>
    <col collapsed="false" customWidth="true" hidden="false" outlineLevel="0" max="13" min="13" style="1" width="23.65"/>
    <col collapsed="false" customWidth="true" hidden="false" outlineLevel="0" max="14" min="14" style="1" width="31.76"/>
    <col collapsed="false" customWidth="false" hidden="false" outlineLevel="0" max="16383" min="15" style="1" width="11.53"/>
  </cols>
  <sheetData>
    <row r="1" customFormat="false" ht="12.1" hidden="false" customHeight="true" outlineLevel="0" collapsed="false">
      <c r="A1" s="1" t="s">
        <v>0</v>
      </c>
      <c r="B1" s="1" t="s">
        <v>1</v>
      </c>
    </row>
    <row r="2" customFormat="false" ht="12.1" hidden="false" customHeight="true" outlineLevel="0" collapsed="false">
      <c r="A2" s="1" t="s">
        <v>2</v>
      </c>
      <c r="B2" s="1" t="s">
        <v>45</v>
      </c>
    </row>
    <row r="3" customFormat="false" ht="12.1" hidden="false" customHeight="true" outlineLevel="0" collapsed="false">
      <c r="A3" s="1" t="s">
        <v>4</v>
      </c>
      <c r="B3" s="1" t="s">
        <v>46</v>
      </c>
    </row>
    <row r="4" customFormat="false" ht="12.1" hidden="false" customHeight="true" outlineLevel="0" collapsed="false">
      <c r="A4" s="1" t="s">
        <v>6</v>
      </c>
      <c r="B4" s="1" t="s">
        <v>7</v>
      </c>
    </row>
    <row r="5" customFormat="false" ht="12.1" hidden="false" customHeight="true" outlineLevel="0" collapsed="false">
      <c r="A5" s="1" t="s">
        <v>8</v>
      </c>
      <c r="B5" s="1" t="s">
        <v>7</v>
      </c>
    </row>
    <row r="6" customFormat="false" ht="12.1" hidden="false" customHeight="true" outlineLevel="0" collapsed="false">
      <c r="A6" s="1" t="s">
        <v>9</v>
      </c>
      <c r="B6" s="1" t="s">
        <v>10</v>
      </c>
    </row>
    <row r="8" s="5" customFormat="true" ht="12.1" hidden="false" customHeight="true" outlineLevel="0" collapsed="false">
      <c r="A8" s="5" t="s">
        <v>11</v>
      </c>
      <c r="B8" s="5" t="s">
        <v>12</v>
      </c>
      <c r="C8" s="5" t="s">
        <v>13</v>
      </c>
      <c r="D8" s="5" t="s">
        <v>47</v>
      </c>
      <c r="E8" s="5" t="s">
        <v>48</v>
      </c>
      <c r="F8" s="5" t="s">
        <v>15</v>
      </c>
      <c r="G8" s="18" t="s">
        <v>16</v>
      </c>
      <c r="H8" s="5" t="s">
        <v>17</v>
      </c>
      <c r="I8" s="5" t="s">
        <v>18</v>
      </c>
      <c r="J8" s="5" t="s">
        <v>19</v>
      </c>
      <c r="K8" s="5" t="s">
        <v>18</v>
      </c>
      <c r="L8" s="5" t="s">
        <v>20</v>
      </c>
      <c r="M8" s="5" t="s">
        <v>21</v>
      </c>
      <c r="N8" s="5" t="s">
        <v>23</v>
      </c>
      <c r="XFD8" s="8"/>
    </row>
    <row r="9" s="5" customFormat="true" ht="12.1" hidden="false" customHeight="true" outlineLevel="0" collapsed="false">
      <c r="G9" s="18"/>
      <c r="XFD9" s="8"/>
    </row>
    <row r="10" s="5" customFormat="true" ht="12.1" hidden="false" customHeight="true" outlineLevel="0" collapsed="false">
      <c r="A10" s="19" t="s">
        <v>49</v>
      </c>
      <c r="G10" s="18"/>
      <c r="XFD10" s="8"/>
    </row>
    <row r="11" s="5" customFormat="true" ht="12.1" hidden="false" customHeight="true" outlineLevel="0" collapsed="false">
      <c r="G11" s="18"/>
      <c r="XFD11" s="8"/>
    </row>
    <row r="12" customFormat="false" ht="12.1" hidden="false" customHeight="true" outlineLevel="0" collapsed="false">
      <c r="A12" s="20" t="s">
        <v>50</v>
      </c>
    </row>
    <row r="13" customFormat="false" ht="12.1" hidden="false" customHeight="true" outlineLevel="0" collapsed="false">
      <c r="A13" s="21" t="s">
        <v>51</v>
      </c>
      <c r="B13" s="1" t="str">
        <f aca="false">$B$4</f>
        <v>http://localhost:9999/v1</v>
      </c>
      <c r="C13" s="1" t="s">
        <v>28</v>
      </c>
      <c r="D13" s="2" t="n">
        <v>0</v>
      </c>
      <c r="E13" s="2" t="n">
        <v>0</v>
      </c>
      <c r="F13" s="2" t="s">
        <v>29</v>
      </c>
      <c r="G13" s="17" t="n">
        <v>1</v>
      </c>
      <c r="H13" s="2" t="n">
        <v>1</v>
      </c>
      <c r="I13" s="1" t="n">
        <v>69421337</v>
      </c>
      <c r="J13" s="1" t="str">
        <f aca="false">A13&amp;"_"&amp;C13&amp;"_"&amp;F13&amp;"_t-"&amp;G13&amp;"_b-"&amp;H13&amp;"_be-"&amp;D13&amp;"_pe-"&amp;E13&amp;"_s-"&amp;I13</f>
        <v>llamacpp@default-jinja_chat_medium_t-1_b-1_be-0_pe-0_s-69421337</v>
      </c>
      <c r="K13" s="1" t="n">
        <v>69421337</v>
      </c>
      <c r="L13" s="1" t="s">
        <v>52</v>
      </c>
      <c r="M13" s="1" t="str">
        <f aca="false">"env OPENAI_API_KEY=sk-none"&amp;" python -m gpt_oss.evals --base-url="&amp;B13&amp;" --model "&amp;$B$2&amp;IF(D13=1," --enable-browser-tool ","")&amp;IF(E13=1," --enable-python-tool ","")&amp;" --sampler "&amp;C13&amp;" --eval="&amp;L13&amp;" --reasoning-effort="&amp;F13&amp;" --temperature="&amp;TEXT(G13,"0.00")&amp;" --n-threads="&amp;H13&amp;" --results-dir="&amp;$B$3&amp;J13&amp;" --seed "&amp;I13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--temperature=1.00 --n-threads=1 --results-dir=/home/p/Code/local/burrito-evals/data/gpt_oss/llamacpp@default-jinja_chat_medium_t-1_b-1_be-0_pe-0_s-69421337 --seed 69421337</v>
      </c>
      <c r="N13" s="1" t="s">
        <v>31</v>
      </c>
    </row>
    <row r="14" customFormat="false" ht="12.1" hidden="false" customHeight="true" outlineLevel="0" collapsed="false">
      <c r="A14" s="21" t="s">
        <v>51</v>
      </c>
      <c r="B14" s="1" t="str">
        <f aca="false">$B$4</f>
        <v>http://localhost:9999/v1</v>
      </c>
      <c r="C14" s="1" t="s">
        <v>32</v>
      </c>
      <c r="D14" s="2" t="n">
        <v>0</v>
      </c>
      <c r="E14" s="2" t="n">
        <v>0</v>
      </c>
      <c r="F14" s="2" t="s">
        <v>29</v>
      </c>
      <c r="G14" s="17" t="n">
        <v>1</v>
      </c>
      <c r="H14" s="2" t="n">
        <v>1</v>
      </c>
      <c r="I14" s="1" t="n">
        <v>69421337</v>
      </c>
      <c r="J14" s="1" t="str">
        <f aca="false">A14&amp;"_"&amp;C14&amp;"_"&amp;F14&amp;"_t-"&amp;G14&amp;"_b-"&amp;H14&amp;"_be-"&amp;D14&amp;"_pe-"&amp;E14&amp;"_s-"&amp;I14</f>
        <v>llamacpp@default-jinja_responses_medium_t-1_b-1_be-0_pe-0_s-69421337</v>
      </c>
      <c r="K14" s="1" t="n">
        <v>69421337</v>
      </c>
      <c r="L14" s="1" t="s">
        <v>52</v>
      </c>
      <c r="M14" s="1" t="str">
        <f aca="false">"env OPENAI_API_KEY=sk-none"&amp;" python -m gpt_oss.evals --base-url="&amp;B14&amp;" --model "&amp;$B$2&amp;IF(D14=1," --enable-browser-tool ","")&amp;IF(E14=1," --enable-python-tool ","")&amp;" --sampler "&amp;C14&amp;" --eval="&amp;L14&amp;" --reasoning-effort="&amp;F14&amp;" --temperature="&amp;TEXT(G14,"0.00")&amp;" --n-threads="&amp;H14&amp;" --results-dir="&amp;$B$3&amp;J14&amp;" --seed "&amp;I14</f>
        <v>env OPENAI_API_KEY=sk-none python -m gpt_oss.evals --base-url=http://localhost:9999/v1 --model openai/gpt-oss-20b --sampler responses --eval=aime25,gpqa --reasoning-effort=medium --temperature=1.00 --n-threads=1 --results-dir=/home/p/Code/local/burrito-evals/data/gpt_oss/llamacpp@default-jinja_responses_medium_t-1_b-1_be-0_pe-0_s-69421337 --seed 69421337</v>
      </c>
      <c r="N14" s="1" t="s">
        <v>31</v>
      </c>
    </row>
    <row r="15" customFormat="false" ht="12.1" hidden="false" customHeight="true" outlineLevel="0" collapsed="false">
      <c r="M15" s="12" t="str">
        <f aca="false">M13&amp;" &amp;&amp; "&amp;M14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--temperature=1.00 --n-threads=1 --results-dir=/home/p/Code/local/burrito-evals/data/gpt_oss/llamacpp@default-jinja_chat_medium_t-1_b-1_be-0_pe-0_s-69421337 --seed 69421337 &amp;&amp; env OPENAI_API_KEY=sk-none python -m gpt_oss.evals --base-url=http://localhost:9999/v1 --model openai/gpt-oss-20b --sampler responses --eval=aime25,gpqa --reasoning-effort=medium --temperature=1.00 --n-threads=1 --results-dir=/home/p/Code/local/burrito-evals/data/gpt_oss/llamacpp@default-jinja_responses_medium_t-1_b-1_be-0_pe-0_s-69421337 --seed 69421337</v>
      </c>
    </row>
    <row r="16" customFormat="false" ht="12.1" hidden="false" customHeight="true" outlineLevel="0" collapsed="false">
      <c r="M16" s="12"/>
    </row>
    <row r="17" customFormat="false" ht="12.1" hidden="false" customHeight="true" outlineLevel="0" collapsed="false">
      <c r="A17" s="21" t="s">
        <v>53</v>
      </c>
      <c r="B17" s="1" t="str">
        <f aca="false">$B$4</f>
        <v>http://localhost:9999/v1</v>
      </c>
      <c r="C17" s="1" t="s">
        <v>28</v>
      </c>
      <c r="D17" s="2" t="n">
        <v>0</v>
      </c>
      <c r="E17" s="2" t="n">
        <v>0</v>
      </c>
      <c r="F17" s="2" t="s">
        <v>29</v>
      </c>
      <c r="G17" s="17" t="n">
        <v>1</v>
      </c>
      <c r="H17" s="2" t="n">
        <v>1</v>
      </c>
      <c r="I17" s="1" t="n">
        <v>69421337</v>
      </c>
      <c r="J17" s="1" t="str">
        <f aca="false">A17&amp;"_"&amp;C17&amp;"_"&amp;F17&amp;"_t-"&amp;G17&amp;"_b-"&amp;H17&amp;"_be-"&amp;D17&amp;"_pe-"&amp;E17&amp;"_s-"&amp;I17</f>
        <v>llamacpp@fixed-jinja_chat_medium_t-1_b-1_be-0_pe-0_s-69421337</v>
      </c>
      <c r="K17" s="1" t="n">
        <v>69421337</v>
      </c>
      <c r="L17" s="1" t="s">
        <v>52</v>
      </c>
      <c r="M17" s="1" t="str">
        <f aca="false">"env OPENAI_API_KEY=sk-none"&amp;" python -m gpt_oss.evals --base-url="&amp;B17&amp;" --model "&amp;$B$2&amp;IF(D17=1," --enable-browser-tool ","")&amp;IF(E17=1," --enable-python-tool ","")&amp;" --sampler "&amp;C17&amp;" --eval="&amp;L17&amp;" --reasoning-effort="&amp;F17&amp;" --temperature="&amp;TEXT(G17,"0.00")&amp;" --n-threads="&amp;H17&amp;" --results-dir="&amp;$B$3&amp;J17&amp;" --seed "&amp;I17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--temperature=1.00 --n-threads=1 --results-dir=/home/p/Code/local/burrito-evals/data/gpt_oss/llamacpp@fixed-jinja_chat_medium_t-1_b-1_be-0_pe-0_s-69421337 --seed 69421337</v>
      </c>
      <c r="N17" s="1" t="s">
        <v>31</v>
      </c>
    </row>
    <row r="18" customFormat="false" ht="12.1" hidden="false" customHeight="true" outlineLevel="0" collapsed="false">
      <c r="A18" s="21" t="s">
        <v>53</v>
      </c>
      <c r="B18" s="1" t="str">
        <f aca="false">$B$4</f>
        <v>http://localhost:9999/v1</v>
      </c>
      <c r="C18" s="1" t="s">
        <v>32</v>
      </c>
      <c r="D18" s="2" t="n">
        <v>0</v>
      </c>
      <c r="E18" s="2" t="n">
        <v>0</v>
      </c>
      <c r="F18" s="2" t="s">
        <v>29</v>
      </c>
      <c r="G18" s="17" t="n">
        <v>1</v>
      </c>
      <c r="H18" s="2" t="n">
        <v>1</v>
      </c>
      <c r="I18" s="1" t="n">
        <v>69421337</v>
      </c>
      <c r="J18" s="1" t="str">
        <f aca="false">A18&amp;"_"&amp;C18&amp;"_"&amp;F18&amp;"_t-"&amp;G18&amp;"_b-"&amp;H18&amp;"_be-"&amp;D18&amp;"_pe-"&amp;E18&amp;"_s-"&amp;I18</f>
        <v>llamacpp@fixed-jinja_responses_medium_t-1_b-1_be-0_pe-0_s-69421337</v>
      </c>
      <c r="K18" s="1" t="n">
        <v>69421337</v>
      </c>
      <c r="L18" s="1" t="s">
        <v>52</v>
      </c>
      <c r="M18" s="1" t="str">
        <f aca="false">"env OPENAI_API_KEY=sk-none"&amp;" python -m gpt_oss.evals --base-url="&amp;B18&amp;" --model "&amp;$B$2&amp;IF(D18=1," --enable-browser-tool ","")&amp;IF(E18=1," --enable-python-tool ","")&amp;" --sampler "&amp;C18&amp;" --eval="&amp;L18&amp;" --reasoning-effort="&amp;F18&amp;" --temperature="&amp;TEXT(G18,"0.00")&amp;" --n-threads="&amp;H18&amp;" --results-dir="&amp;$B$3&amp;J18&amp;" --seed "&amp;I18</f>
        <v>env OPENAI_API_KEY=sk-none python -m gpt_oss.evals --base-url=http://localhost:9999/v1 --model openai/gpt-oss-20b --sampler responses --eval=aime25,gpqa --reasoning-effort=medium --temperature=1.00 --n-threads=1 --results-dir=/home/p/Code/local/burrito-evals/data/gpt_oss/llamacpp@fixed-jinja_responses_medium_t-1_b-1_be-0_pe-0_s-69421337 --seed 69421337</v>
      </c>
      <c r="N18" s="1" t="s">
        <v>31</v>
      </c>
    </row>
    <row r="19" customFormat="false" ht="12.1" hidden="false" customHeight="true" outlineLevel="0" collapsed="false">
      <c r="A19" s="11"/>
      <c r="M19" s="12" t="str">
        <f aca="false">M17&amp;" &amp;&amp; "&amp;M18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--temperature=1.00 --n-threads=1 --results-dir=/home/p/Code/local/burrito-evals/data/gpt_oss/llamacpp@fixed-jinja_chat_medium_t-1_b-1_be-0_pe-0_s-69421337 --seed 69421337 &amp;&amp; env OPENAI_API_KEY=sk-none python -m gpt_oss.evals --base-url=http://localhost:9999/v1 --model openai/gpt-oss-20b --sampler responses --eval=aime25,gpqa --reasoning-effort=medium --temperature=1.00 --n-threads=1 --results-dir=/home/p/Code/local/burrito-evals/data/gpt_oss/llamacpp@fixed-jinja_responses_medium_t-1_b-1_be-0_pe-0_s-69421337 --seed 69421337</v>
      </c>
      <c r="N19" s="1" t="s">
        <v>31</v>
      </c>
    </row>
    <row r="20" customFormat="false" ht="12.1" hidden="false" customHeight="true" outlineLevel="0" collapsed="false">
      <c r="A20" s="11" t="s">
        <v>33</v>
      </c>
      <c r="M20" s="12"/>
    </row>
    <row r="21" customFormat="false" ht="12.1" hidden="false" customHeight="true" outlineLevel="0" collapsed="false">
      <c r="A21" s="1" t="s">
        <v>33</v>
      </c>
      <c r="B21" s="1" t="str">
        <f aca="false">$B$6</f>
        <v>http://localhost:8888/v1</v>
      </c>
      <c r="C21" s="1" t="s">
        <v>28</v>
      </c>
      <c r="D21" s="2" t="n">
        <v>0</v>
      </c>
      <c r="E21" s="2" t="n">
        <v>0</v>
      </c>
      <c r="F21" s="2" t="s">
        <v>29</v>
      </c>
      <c r="G21" s="17" t="n">
        <v>1</v>
      </c>
      <c r="H21" s="2" t="n">
        <v>1</v>
      </c>
      <c r="I21" s="1" t="n">
        <v>69421337</v>
      </c>
      <c r="J21" s="1" t="str">
        <f aca="false">A21&amp;"_"&amp;C21&amp;"_"&amp;F21&amp;"_t-"&amp;G21&amp;"_b-"&amp;H21&amp;"_be-"&amp;D21&amp;"_pe-"&amp;E21&amp;"_s-"&amp;I21</f>
        <v>burrito@llamacpp_chat_medium_t-1_b-1_be-0_pe-0_s-69421337</v>
      </c>
      <c r="K21" s="1" t="n">
        <v>69421337</v>
      </c>
      <c r="L21" s="1" t="s">
        <v>52</v>
      </c>
      <c r="M21" s="1" t="str">
        <f aca="false">"env OPENAI_API_KEY=sk-none"&amp;" python -m gpt_oss.evals --base-url="&amp;B21&amp;" --model "&amp;$B$2&amp;IF(D21=1," --enable-browser-tool ","")&amp;IF(E21=1," --enable-python-tool ","")&amp;" --sampler "&amp;C21&amp;" --eval="&amp;L21&amp;" --reasoning-effort="&amp;F21&amp;" --temperature="&amp;TEXT(G21,"0.00")&amp;" --n-threads="&amp;H21&amp;" --results-dir="&amp;$B$3&amp;J21&amp;" --seed "&amp;I21</f>
        <v>env OPENAI_API_KEY=sk-none python -m gpt_oss.evals --base-url=http://localhost:8888/v1 --model openai/gpt-oss-20b --sampler chat --eval=aime25,gpqa --reasoning-effort=medium --temperature=1.00 --n-threads=1 --results-dir=/home/p/Code/local/burrito-evals/data/gpt_oss/burrito@llamacpp_chat_medium_t-1_b-1_be-0_pe-0_s-69421337 --seed 69421337</v>
      </c>
      <c r="N21" s="1" t="s">
        <v>31</v>
      </c>
    </row>
    <row r="22" customFormat="false" ht="12.1" hidden="false" customHeight="true" outlineLevel="0" collapsed="false">
      <c r="A22" s="1" t="s">
        <v>33</v>
      </c>
      <c r="B22" s="1" t="str">
        <f aca="false">$B$6</f>
        <v>http://localhost:8888/v1</v>
      </c>
      <c r="C22" s="1" t="s">
        <v>32</v>
      </c>
      <c r="D22" s="2" t="n">
        <v>0</v>
      </c>
      <c r="E22" s="2" t="n">
        <v>0</v>
      </c>
      <c r="F22" s="2" t="s">
        <v>29</v>
      </c>
      <c r="G22" s="17" t="n">
        <v>1</v>
      </c>
      <c r="H22" s="2" t="n">
        <v>1</v>
      </c>
      <c r="I22" s="1" t="n">
        <v>69421337</v>
      </c>
      <c r="J22" s="1" t="str">
        <f aca="false">A22&amp;"_"&amp;C22&amp;"_"&amp;F22&amp;"_t-"&amp;G22&amp;"_b-"&amp;H22&amp;"_be-"&amp;D22&amp;"_pe-"&amp;E22&amp;"_s-"&amp;I22</f>
        <v>burrito@llamacpp_responses_medium_t-1_b-1_be-0_pe-0_s-69421337</v>
      </c>
      <c r="K22" s="1" t="n">
        <v>69421337</v>
      </c>
      <c r="L22" s="1" t="s">
        <v>52</v>
      </c>
      <c r="M22" s="1" t="str">
        <f aca="false">"env OPENAI_API_KEY=sk-none"&amp;" python -m gpt_oss.evals --base-url="&amp;B22&amp;" --model "&amp;$B$2&amp;IF(D22=1," --enable-browser-tool ","")&amp;IF(E22=1," --enable-python-tool ","")&amp;" --sampler "&amp;C22&amp;" --eval="&amp;L22&amp;" --reasoning-effort="&amp;F22&amp;" --temperature="&amp;TEXT(G22,"0.00")&amp;" --n-threads="&amp;H22&amp;" --results-dir="&amp;$B$3&amp;J22&amp;" --seed "&amp;I22</f>
        <v>env OPENAI_API_KEY=sk-none python -m gpt_oss.evals --base-url=http://localhost:8888/v1 --model openai/gpt-oss-20b --sampler responses --eval=aime25,gpqa --reasoning-effort=medium --temperature=1.00 --n-threads=1 --results-dir=/home/p/Code/local/burrito-evals/data/gpt_oss/burrito@llamacpp_responses_medium_t-1_b-1_be-0_pe-0_s-69421337 --seed 69421337</v>
      </c>
      <c r="N22" s="1" t="s">
        <v>31</v>
      </c>
    </row>
    <row r="23" customFormat="false" ht="12.1" hidden="false" customHeight="true" outlineLevel="0" collapsed="false">
      <c r="M23" s="12" t="str">
        <f aca="false">M21&amp;" &amp;&amp; "&amp;M22</f>
        <v>env OPENAI_API_KEY=sk-none python -m gpt_oss.evals --base-url=http://localhost:8888/v1 --model openai/gpt-oss-20b --sampler chat --eval=aime25,gpqa --reasoning-effort=medium --temperature=1.00 --n-threads=1 --results-dir=/home/p/Code/local/burrito-evals/data/gpt_oss/burrito@llamacpp_chat_medium_t-1_b-1_be-0_pe-0_s-69421337 --seed 69421337 &amp;&amp; env OPENAI_API_KEY=sk-none python -m gpt_oss.evals --base-url=http://localhost:8888/v1 --model openai/gpt-oss-20b --sampler responses --eval=aime25,gpqa --reasoning-effort=medium --temperature=1.00 --n-threads=1 --results-dir=/home/p/Code/local/burrito-evals/data/gpt_oss/burrito@llamacpp_responses_medium_t-1_b-1_be-0_pe-0_s-69421337 --seed 69421337</v>
      </c>
      <c r="N23" s="1" t="s">
        <v>31</v>
      </c>
    </row>
    <row r="24" customFormat="false" ht="12.1" hidden="false" customHeight="true" outlineLevel="0" collapsed="false">
      <c r="A24" s="20" t="s">
        <v>35</v>
      </c>
    </row>
    <row r="25" customFormat="false" ht="12.1" hidden="false" customHeight="true" outlineLevel="0" collapsed="false">
      <c r="A25" s="21" t="s">
        <v>54</v>
      </c>
      <c r="B25" s="1" t="str">
        <f aca="false">$B$4</f>
        <v>http://localhost:9999/v1</v>
      </c>
      <c r="C25" s="1" t="s">
        <v>28</v>
      </c>
      <c r="D25" s="2" t="n">
        <v>0</v>
      </c>
      <c r="E25" s="2" t="n">
        <v>0</v>
      </c>
      <c r="F25" s="2" t="s">
        <v>29</v>
      </c>
      <c r="G25" s="17" t="n">
        <v>1</v>
      </c>
      <c r="H25" s="2" t="n">
        <v>1</v>
      </c>
      <c r="I25" s="1" t="n">
        <v>69421337</v>
      </c>
      <c r="J25" s="1" t="str">
        <f aca="false">A25&amp;"_"&amp;C25&amp;"_"&amp;F25&amp;"_t-"&amp;G25&amp;"_b-"&amp;H25&amp;"_be-"&amp;D25&amp;"_pe-"&amp;E25&amp;"_s-"&amp;I25</f>
        <v>vllm@default-jinja_chat_medium_t-1_b-1_be-0_pe-0_s-69421337</v>
      </c>
      <c r="K25" s="1" t="n">
        <v>69421337</v>
      </c>
      <c r="L25" s="1" t="s">
        <v>52</v>
      </c>
      <c r="M25" s="1" t="str">
        <f aca="false">"env OPENAI_API_KEY=sk-none"&amp;" python -m gpt_oss.evals --base-url="&amp;B25&amp;" --model "&amp;$B$2&amp;IF(D25=1," --enable-browser-tool ","")&amp;IF(E25=1," --enable-python-tool ","")&amp;" --sampler "&amp;C25&amp;" --eval="&amp;L25&amp;" --reasoning-effort="&amp;F25&amp;" --temperature="&amp;TEXT(G25,"0.00")&amp;" --n-threads="&amp;H25&amp;" --results-dir="&amp;$B$3&amp;J25&amp;" --seed "&amp;I25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--temperature=1.00 --n-threads=1 --results-dir=/home/p/Code/local/burrito-evals/data/gpt_oss/vllm@default-jinja_chat_medium_t-1_b-1_be-0_pe-0_s-69421337 --seed 69421337</v>
      </c>
      <c r="N25" s="1" t="s">
        <v>31</v>
      </c>
    </row>
    <row r="26" customFormat="false" ht="12.1" hidden="false" customHeight="true" outlineLevel="0" collapsed="false">
      <c r="A26" s="21" t="s">
        <v>54</v>
      </c>
      <c r="B26" s="1" t="str">
        <f aca="false">$B$4</f>
        <v>http://localhost:9999/v1</v>
      </c>
      <c r="C26" s="1" t="s">
        <v>32</v>
      </c>
      <c r="D26" s="2" t="n">
        <v>0</v>
      </c>
      <c r="E26" s="2" t="n">
        <v>0</v>
      </c>
      <c r="F26" s="2" t="s">
        <v>29</v>
      </c>
      <c r="G26" s="17" t="n">
        <v>1</v>
      </c>
      <c r="H26" s="2" t="n">
        <v>1</v>
      </c>
      <c r="I26" s="1" t="n">
        <v>69421337</v>
      </c>
      <c r="J26" s="1" t="str">
        <f aca="false">A26&amp;"_"&amp;C26&amp;"_"&amp;F26&amp;"_t-"&amp;G26&amp;"_b-"&amp;H26&amp;"_be-"&amp;D26&amp;"_pe-"&amp;E26&amp;"_s-"&amp;I26</f>
        <v>vllm@default-jinja_responses_medium_t-1_b-1_be-0_pe-0_s-69421337</v>
      </c>
      <c r="K26" s="1" t="n">
        <v>69421337</v>
      </c>
      <c r="L26" s="1" t="s">
        <v>52</v>
      </c>
      <c r="M26" s="1" t="str">
        <f aca="false">"env OPENAI_API_KEY=sk-none"&amp;" python -m gpt_oss.evals --base-url="&amp;B26&amp;" --model "&amp;$B$2&amp;IF(D26=1," --enable-browser-tool ","")&amp;IF(E26=1," --enable-python-tool ","")&amp;" --sampler "&amp;C26&amp;" --eval="&amp;L26&amp;" --reasoning-effort="&amp;F26&amp;" --temperature="&amp;TEXT(G26,"0.00")&amp;" --n-threads="&amp;H26&amp;" --results-dir="&amp;$B$3&amp;J26&amp;" --seed "&amp;I26</f>
        <v>env OPENAI_API_KEY=sk-none python -m gpt_oss.evals --base-url=http://localhost:9999/v1 --model openai/gpt-oss-20b --sampler responses --eval=aime25,gpqa --reasoning-effort=medium --temperature=1.00 --n-threads=1 --results-dir=/home/p/Code/local/burrito-evals/data/gpt_oss/vllm@default-jinja_responses_medium_t-1_b-1_be-0_pe-0_s-69421337 --seed 69421337</v>
      </c>
      <c r="N26" s="1" t="s">
        <v>31</v>
      </c>
    </row>
    <row r="27" customFormat="false" ht="12.1" hidden="false" customHeight="true" outlineLevel="0" collapsed="false">
      <c r="M27" s="12" t="str">
        <f aca="false">M25&amp;" &amp;&amp; "&amp;M26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--temperature=1.00 --n-threads=1 --results-dir=/home/p/Code/local/burrito-evals/data/gpt_oss/vllm@default-jinja_chat_medium_t-1_b-1_be-0_pe-0_s-69421337 --seed 69421337 &amp;&amp; env OPENAI_API_KEY=sk-none python -m gpt_oss.evals --base-url=http://localhost:9999/v1 --model openai/gpt-oss-20b --sampler responses --eval=aime25,gpqa --reasoning-effort=medium --temperature=1.00 --n-threads=1 --results-dir=/home/p/Code/local/burrito-evals/data/gpt_oss/vllm@default-jinja_responses_medium_t-1_b-1_be-0_pe-0_s-69421337 --seed 69421337</v>
      </c>
    </row>
    <row r="28" customFormat="false" ht="12.1" hidden="false" customHeight="true" outlineLevel="0" collapsed="false">
      <c r="M28" s="12"/>
    </row>
    <row r="29" customFormat="false" ht="12.1" hidden="false" customHeight="true" outlineLevel="0" collapsed="false">
      <c r="A29" s="21" t="s">
        <v>55</v>
      </c>
      <c r="B29" s="1" t="str">
        <f aca="false">$B$4</f>
        <v>http://localhost:9999/v1</v>
      </c>
      <c r="C29" s="1" t="s">
        <v>28</v>
      </c>
      <c r="D29" s="2" t="n">
        <v>0</v>
      </c>
      <c r="E29" s="2" t="n">
        <v>0</v>
      </c>
      <c r="F29" s="2" t="s">
        <v>29</v>
      </c>
      <c r="G29" s="17" t="n">
        <v>1</v>
      </c>
      <c r="H29" s="2" t="n">
        <v>1</v>
      </c>
      <c r="I29" s="1" t="n">
        <v>69421337</v>
      </c>
      <c r="J29" s="1" t="str">
        <f aca="false">A29&amp;"_"&amp;C29&amp;"_"&amp;F29&amp;"_t-"&amp;G29&amp;"_b-"&amp;H29&amp;"_be-"&amp;D29&amp;"_pe-"&amp;E29&amp;"_s-"&amp;I29</f>
        <v>vllm@fixed-jinja_chat_medium_t-1_b-1_be-0_pe-0_s-69421337</v>
      </c>
      <c r="K29" s="1" t="n">
        <v>69421337</v>
      </c>
      <c r="L29" s="1" t="s">
        <v>52</v>
      </c>
      <c r="M29" s="1" t="str">
        <f aca="false">"env OPENAI_API_KEY=sk-none"&amp;" python -m gpt_oss.evals --base-url="&amp;B29&amp;" --model "&amp;$B$2&amp;IF(D29=1," --enable-browser-tool ","")&amp;IF(E29=1," --enable-python-tool ","")&amp;" --sampler "&amp;C29&amp;" --eval="&amp;L29&amp;" --reasoning-effort="&amp;F29&amp;" --temperature="&amp;TEXT(G29,"0.00")&amp;" --n-threads="&amp;H29&amp;" --results-dir="&amp;$B$3&amp;J29&amp;" --seed "&amp;I29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--temperature=1.00 --n-threads=1 --results-dir=/home/p/Code/local/burrito-evals/data/gpt_oss/vllm@fixed-jinja_chat_medium_t-1_b-1_be-0_pe-0_s-69421337 --seed 69421337</v>
      </c>
      <c r="N29" s="1" t="s">
        <v>31</v>
      </c>
    </row>
    <row r="30" customFormat="false" ht="12.1" hidden="false" customHeight="true" outlineLevel="0" collapsed="false">
      <c r="A30" s="21" t="s">
        <v>55</v>
      </c>
      <c r="B30" s="1" t="str">
        <f aca="false">$B$4</f>
        <v>http://localhost:9999/v1</v>
      </c>
      <c r="C30" s="1" t="s">
        <v>32</v>
      </c>
      <c r="D30" s="2" t="n">
        <v>0</v>
      </c>
      <c r="E30" s="2" t="n">
        <v>0</v>
      </c>
      <c r="F30" s="2" t="s">
        <v>29</v>
      </c>
      <c r="G30" s="17" t="n">
        <v>1</v>
      </c>
      <c r="H30" s="2" t="n">
        <v>1</v>
      </c>
      <c r="I30" s="1" t="n">
        <v>69421337</v>
      </c>
      <c r="J30" s="1" t="str">
        <f aca="false">A30&amp;"_"&amp;C30&amp;"_"&amp;F30&amp;"_t-"&amp;G30&amp;"_b-"&amp;H30&amp;"_be-"&amp;D30&amp;"_pe-"&amp;E30&amp;"_s-"&amp;I30</f>
        <v>vllm@fixed-jinja_responses_medium_t-1_b-1_be-0_pe-0_s-69421337</v>
      </c>
      <c r="K30" s="1" t="n">
        <v>69421337</v>
      </c>
      <c r="L30" s="1" t="s">
        <v>52</v>
      </c>
      <c r="M30" s="1" t="str">
        <f aca="false">"env OPENAI_API_KEY=sk-none"&amp;" python -m gpt_oss.evals --base-url="&amp;B30&amp;" --model "&amp;$B$2&amp;IF(D30=1," --enable-browser-tool ","")&amp;IF(E30=1," --enable-python-tool ","")&amp;" --sampler "&amp;C30&amp;" --eval="&amp;L30&amp;" --reasoning-effort="&amp;F30&amp;" --temperature="&amp;TEXT(G30,"0.00")&amp;" --n-threads="&amp;H30&amp;" --results-dir="&amp;$B$3&amp;J30&amp;" --seed "&amp;I30</f>
        <v>env OPENAI_API_KEY=sk-none python -m gpt_oss.evals --base-url=http://localhost:9999/v1 --model openai/gpt-oss-20b --sampler responses --eval=aime25,gpqa --reasoning-effort=medium --temperature=1.00 --n-threads=1 --results-dir=/home/p/Code/local/burrito-evals/data/gpt_oss/vllm@fixed-jinja_responses_medium_t-1_b-1_be-0_pe-0_s-69421337 --seed 69421337</v>
      </c>
      <c r="N30" s="1" t="s">
        <v>31</v>
      </c>
    </row>
    <row r="31" customFormat="false" ht="12.1" hidden="false" customHeight="true" outlineLevel="0" collapsed="false">
      <c r="A31" s="11"/>
      <c r="M31" s="12" t="str">
        <f aca="false">M29&amp;" &amp;&amp; "&amp;M30</f>
        <v>env OPENAI_API_KEY=sk-none python -m gpt_oss.evals --base-url=http://localhost:9999/v1 --model openai/gpt-oss-20b --sampler chat --eval=aime25,gpqa --reasoning-effort=medium --temperature=1.00 --n-threads=1 --results-dir=/home/p/Code/local/burrito-evals/data/gpt_oss/vllm@fixed-jinja_chat_medium_t-1_b-1_be-0_pe-0_s-69421337 --seed 69421337 &amp;&amp; env OPENAI_API_KEY=sk-none python -m gpt_oss.evals --base-url=http://localhost:9999/v1 --model openai/gpt-oss-20b --sampler responses --eval=aime25,gpqa --reasoning-effort=medium --temperature=1.00 --n-threads=1 --results-dir=/home/p/Code/local/burrito-evals/data/gpt_oss/vllm@fixed-jinja_responses_medium_t-1_b-1_be-0_pe-0_s-69421337 --seed 69421337</v>
      </c>
      <c r="N31" s="1" t="s">
        <v>31</v>
      </c>
    </row>
    <row r="32" customFormat="false" ht="12.1" hidden="false" customHeight="true" outlineLevel="0" collapsed="false">
      <c r="A32" s="11" t="s">
        <v>37</v>
      </c>
      <c r="M32" s="12"/>
    </row>
    <row r="33" customFormat="false" ht="12.1" hidden="false" customHeight="true" outlineLevel="0" collapsed="false">
      <c r="A33" s="1" t="s">
        <v>37</v>
      </c>
      <c r="B33" s="1" t="str">
        <f aca="false">$B$6</f>
        <v>http://localhost:8888/v1</v>
      </c>
      <c r="C33" s="1" t="s">
        <v>28</v>
      </c>
      <c r="D33" s="2" t="n">
        <v>0</v>
      </c>
      <c r="E33" s="2" t="n">
        <v>0</v>
      </c>
      <c r="F33" s="2" t="s">
        <v>29</v>
      </c>
      <c r="G33" s="17" t="n">
        <v>1</v>
      </c>
      <c r="H33" s="2" t="n">
        <v>1</v>
      </c>
      <c r="I33" s="1" t="n">
        <v>69421337</v>
      </c>
      <c r="J33" s="1" t="str">
        <f aca="false">A33&amp;"_"&amp;C33&amp;"_"&amp;F33&amp;"_t-"&amp;G33&amp;"_b-"&amp;H33&amp;"_be-"&amp;D33&amp;"_pe-"&amp;E33&amp;"_s-"&amp;I33</f>
        <v>burrito@vllm_chat_medium_t-1_b-1_be-0_pe-0_s-69421337</v>
      </c>
      <c r="K33" s="1" t="n">
        <v>69421337</v>
      </c>
      <c r="L33" s="1" t="s">
        <v>52</v>
      </c>
      <c r="M33" s="1" t="str">
        <f aca="false">"env OPENAI_API_KEY=sk-none"&amp;" python -m gpt_oss.evals --base-url="&amp;B33&amp;" --model "&amp;$B$2&amp;IF(D33=1," --enable-browser-tool ","")&amp;IF(E33=1," --enable-python-tool ","")&amp;" --sampler "&amp;C33&amp;" --eval="&amp;L33&amp;" --reasoning-effort="&amp;F33&amp;" --temperature="&amp;TEXT(G33,"0.00")&amp;" --n-threads="&amp;H33&amp;" --results-dir="&amp;$B$3&amp;J33&amp;" --seed "&amp;I33</f>
        <v>env OPENAI_API_KEY=sk-none python -m gpt_oss.evals --base-url=http://localhost:8888/v1 --model openai/gpt-oss-20b --sampler chat --eval=aime25,gpqa --reasoning-effort=medium --temperature=1.00 --n-threads=1 --results-dir=/home/p/Code/local/burrito-evals/data/gpt_oss/burrito@vllm_chat_medium_t-1_b-1_be-0_pe-0_s-69421337 --seed 69421337</v>
      </c>
      <c r="N33" s="1" t="s">
        <v>31</v>
      </c>
    </row>
    <row r="34" customFormat="false" ht="12.1" hidden="false" customHeight="true" outlineLevel="0" collapsed="false">
      <c r="A34" s="1" t="s">
        <v>37</v>
      </c>
      <c r="B34" s="1" t="str">
        <f aca="false">$B$6</f>
        <v>http://localhost:8888/v1</v>
      </c>
      <c r="C34" s="1" t="s">
        <v>32</v>
      </c>
      <c r="D34" s="2" t="n">
        <v>0</v>
      </c>
      <c r="E34" s="2" t="n">
        <v>0</v>
      </c>
      <c r="F34" s="2" t="s">
        <v>29</v>
      </c>
      <c r="G34" s="17" t="n">
        <v>1</v>
      </c>
      <c r="H34" s="2" t="n">
        <v>1</v>
      </c>
      <c r="I34" s="1" t="n">
        <v>69421337</v>
      </c>
      <c r="J34" s="1" t="str">
        <f aca="false">A34&amp;"_"&amp;C34&amp;"_"&amp;F34&amp;"_t-"&amp;G34&amp;"_b-"&amp;H34&amp;"_be-"&amp;D34&amp;"_pe-"&amp;E34&amp;"_s-"&amp;I34</f>
        <v>burrito@vllm_responses_medium_t-1_b-1_be-0_pe-0_s-69421337</v>
      </c>
      <c r="K34" s="1" t="n">
        <v>69421337</v>
      </c>
      <c r="L34" s="1" t="s">
        <v>52</v>
      </c>
      <c r="M34" s="1" t="str">
        <f aca="false">"env OPENAI_API_KEY=sk-none"&amp;" python -m gpt_oss.evals --base-url="&amp;B34&amp;" --model "&amp;$B$2&amp;IF(D34=1," --enable-browser-tool ","")&amp;IF(E34=1," --enable-python-tool ","")&amp;" --sampler "&amp;C34&amp;" --eval="&amp;L34&amp;" --reasoning-effort="&amp;F34&amp;" --temperature="&amp;TEXT(G34,"0.00")&amp;" --n-threads="&amp;H34&amp;" --results-dir="&amp;$B$3&amp;J34&amp;" --seed "&amp;I34</f>
        <v>env OPENAI_API_KEY=sk-none python -m gpt_oss.evals --base-url=http://localhost:8888/v1 --model openai/gpt-oss-20b --sampler responses --eval=aime25,gpqa --reasoning-effort=medium --temperature=1.00 --n-threads=1 --results-dir=/home/p/Code/local/burrito-evals/data/gpt_oss/burrito@vllm_responses_medium_t-1_b-1_be-0_pe-0_s-69421337 --seed 69421337</v>
      </c>
      <c r="N34" s="1" t="s">
        <v>31</v>
      </c>
    </row>
    <row r="35" customFormat="false" ht="12.1" hidden="false" customHeight="true" outlineLevel="0" collapsed="false">
      <c r="M35" s="12" t="str">
        <f aca="false">M33&amp;" &amp;&amp; "&amp;M34</f>
        <v>env OPENAI_API_KEY=sk-none python -m gpt_oss.evals --base-url=http://localhost:8888/v1 --model openai/gpt-oss-20b --sampler chat --eval=aime25,gpqa --reasoning-effort=medium --temperature=1.00 --n-threads=1 --results-dir=/home/p/Code/local/burrito-evals/data/gpt_oss/burrito@vllm_chat_medium_t-1_b-1_be-0_pe-0_s-69421337 --seed 69421337 &amp;&amp; env OPENAI_API_KEY=sk-none python -m gpt_oss.evals --base-url=http://localhost:8888/v1 --model openai/gpt-oss-20b --sampler responses --eval=aime25,gpqa --reasoning-effort=medium --temperature=1.00 --n-threads=1 --results-dir=/home/p/Code/local/burrito-evals/data/gpt_oss/burrito@vllm_responses_medium_t-1_b-1_be-0_pe-0_s-69421337 --seed 69421337</v>
      </c>
      <c r="N35" s="1" t="s">
        <v>31</v>
      </c>
    </row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D29:D1048576 D1:D11">
    <cfRule type="colorScale" priority="2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29:E1048576 E1:E11">
    <cfRule type="colorScale" priority="3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19:D23">
    <cfRule type="colorScale" priority="4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19:E23">
    <cfRule type="colorScale" priority="5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19:D23 D12">
    <cfRule type="colorScale" priority="6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19:E23 E12">
    <cfRule type="colorScale" priority="7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17:D18">
    <cfRule type="colorScale" priority="8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17:E18">
    <cfRule type="colorScale" priority="9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31:D35 D24">
    <cfRule type="colorScale" priority="10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31:E35 E24">
    <cfRule type="colorScale" priority="11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26:D28">
    <cfRule type="colorScale" priority="12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26:E28">
    <cfRule type="colorScale" priority="13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25:D28">
    <cfRule type="colorScale" priority="14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25:E28">
    <cfRule type="colorScale" priority="15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25:D28">
    <cfRule type="colorScale" priority="16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25:E28">
    <cfRule type="colorScale" priority="17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13:D16">
    <cfRule type="colorScale" priority="18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13:E16">
    <cfRule type="colorScale" priority="19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D13:D16">
    <cfRule type="colorScale" priority="20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E13:E16">
    <cfRule type="colorScale" priority="21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hyperlinks>
    <hyperlink ref="A13" r:id="rId1" display="llamacpp@default-jinja"/>
    <hyperlink ref="A14" r:id="rId2" display="llamacpp@default-jinja"/>
    <hyperlink ref="A17" r:id="rId3" display="llamacpp@fixed-jinja"/>
    <hyperlink ref="A18" r:id="rId4" display="llamacpp@fixed-jinja"/>
    <hyperlink ref="A25" r:id="rId5" display="vllm@default-jinja"/>
    <hyperlink ref="A26" r:id="rId6" display="vllm@default-jinja"/>
    <hyperlink ref="A29" r:id="rId7" display="vllm@fixed-jinja"/>
    <hyperlink ref="A30" r:id="rId8" display="vllm@fixed-jinja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2976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2026-05-10T00:02:57Z</dcterms:created>
  <dc:creator/>
  <dc:description/>
  <dc:language>en-US</dc:language>
  <cp:lastModifiedBy/>
  <dcterms:modified xsi:type="dcterms:W3CDTF">2026-05-17T15:33:49Z</dcterms:modified>
  <cp:revision>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